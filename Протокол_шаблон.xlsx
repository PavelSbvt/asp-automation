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Протокол" sheetId="1" state="visible" r:id="rId2"/>
    <sheet name="БД" sheetId="2" state="visible" r:id="rId3"/>
    <sheet name="Лист2" sheetId="3" state="hidden" r:id="rId4"/>
    <sheet name="БД приказы" sheetId="4" state="hidden" r:id="rId5"/>
    <sheet name="БД направление" sheetId="5" state="hidden" r:id="rId6"/>
    <sheet name="БД Таблица" sheetId="6" state="hidden" r:id="rId7"/>
    <sheet name="проф - дисц - спец" sheetId="7" state="hidden" r:id="rId8"/>
    <sheet name="ДМГ" sheetId="8" state="hidden" r:id="rId9"/>
    <sheet name="Комиссия по ИиФ" sheetId="9" state="hidden" r:id="rId10"/>
    <sheet name="Комиссия по ИнЯ" sheetId="10" state="hidden" r:id="rId11"/>
    <sheet name="Комиссия по специальности" sheetId="11" state="hidden" r:id="rId12"/>
    <sheet name="Лист5" sheetId="12" state="hidden" r:id="rId13"/>
    <sheet name="Лист6" sheetId="13" state="hidden" r:id="rId14"/>
  </sheets>
  <definedNames>
    <definedName function="false" hidden="false" localSheetId="0" name="_xlnm.Print_Area" vbProcedure="false">Протокол!$A$1:$J$48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<sst xmlns="http://schemas.openxmlformats.org/spreadsheetml/2006/main" count="2902" uniqueCount="989">
  <si>
    <t xml:space="preserve">МИНИСТЕРСТВО НАУКИ И ВЫСШЕГО ОБРАЗОВАНИЯ РОССИЙСКОЙ ФЕДЕРАЦИИ
Федеральное государственное бюджетное образовательное учреждение высшего образования
«Тамбовский государственный технический университет»</t>
  </si>
  <si>
    <t xml:space="preserve">УТВЕРЖДАЮ:</t>
  </si>
  <si>
    <t xml:space="preserve">Проректор по научной работе</t>
  </si>
  <si>
    <r>
      <rPr>
        <u val="single"/>
        <sz val="12"/>
        <color rgb="FF000000"/>
        <rFont val="Times New Roman"/>
        <family val="1"/>
        <charset val="204"/>
      </rPr>
      <t xml:space="preserve">                     </t>
    </r>
    <r>
      <rPr>
        <sz val="12"/>
        <color rgb="FF000000"/>
        <rFont val="Times New Roman"/>
        <family val="1"/>
        <charset val="204"/>
      </rPr>
      <t xml:space="preserve"> Д.Ю. Муромцев</t>
    </r>
  </si>
  <si>
    <r>
      <rPr>
        <sz val="12"/>
        <color rgb="FF000000"/>
        <rFont val="Times New Roman"/>
        <family val="1"/>
        <charset val="204"/>
      </rPr>
      <t xml:space="preserve">« </t>
    </r>
    <r>
      <rPr>
        <u val="single"/>
        <sz val="12"/>
        <color rgb="FF000000"/>
        <rFont val="Times New Roman"/>
        <family val="1"/>
        <charset val="204"/>
      </rPr>
      <t xml:space="preserve">       </t>
    </r>
    <r>
      <rPr>
        <sz val="12"/>
        <color rgb="FF000000"/>
        <rFont val="Times New Roman"/>
        <family val="1"/>
        <charset val="204"/>
      </rPr>
      <t xml:space="preserve"> » </t>
    </r>
    <r>
      <rPr>
        <u val="single"/>
        <sz val="12"/>
        <color rgb="FF000000"/>
        <rFont val="Times New Roman"/>
        <family val="1"/>
        <charset val="204"/>
      </rPr>
      <t xml:space="preserve">                        </t>
    </r>
    <r>
      <rPr>
        <sz val="12"/>
        <color rgb="FF000000"/>
        <rFont val="Times New Roman"/>
        <family val="1"/>
        <charset val="204"/>
      </rPr>
      <t xml:space="preserve"> 20 </t>
    </r>
    <r>
      <rPr>
        <u val="single"/>
        <sz val="12"/>
        <color rgb="FF000000"/>
        <rFont val="Times New Roman"/>
        <family val="1"/>
        <charset val="204"/>
      </rPr>
      <t xml:space="preserve">     </t>
    </r>
    <r>
      <rPr>
        <sz val="12"/>
        <color rgb="FF000000"/>
        <rFont val="Times New Roman"/>
        <family val="1"/>
        <charset val="204"/>
      </rPr>
      <t xml:space="preserve"> г.</t>
    </r>
  </si>
  <si>
    <r>
      <rPr>
        <b val="true"/>
        <sz val="14"/>
        <color rgb="FF000000"/>
        <rFont val="Times New Roman"/>
        <family val="1"/>
        <charset val="204"/>
      </rPr>
      <t xml:space="preserve">ПРОТОКОЛ № </t>
    </r>
    <r>
      <rPr>
        <u val="single"/>
        <sz val="14"/>
        <color rgb="FF000000"/>
        <rFont val="Times New Roman"/>
        <family val="1"/>
        <charset val="204"/>
      </rPr>
      <t xml:space="preserve">                     </t>
    </r>
    <r>
      <rPr>
        <b val="true"/>
        <sz val="14"/>
        <color rgb="FFFFFFFF"/>
        <rFont val="Times New Roman"/>
        <family val="1"/>
        <charset val="204"/>
      </rPr>
      <t xml:space="preserve">1</t>
    </r>
  </si>
  <si>
    <t xml:space="preserve">заседания экзаменационной комиссии по приему кандидатского экзамена</t>
  </si>
  <si>
    <r>
      <rPr>
        <sz val="12"/>
        <color rgb="FF000000"/>
        <rFont val="Times New Roman"/>
        <family val="1"/>
        <charset val="204"/>
      </rPr>
      <t xml:space="preserve">от  « </t>
    </r>
    <r>
      <rPr>
        <u val="single"/>
        <sz val="12"/>
        <color rgb="FF000000"/>
        <rFont val="Times New Roman"/>
        <family val="1"/>
        <charset val="204"/>
      </rPr>
      <t xml:space="preserve">       </t>
    </r>
    <r>
      <rPr>
        <sz val="12"/>
        <color rgb="FF000000"/>
        <rFont val="Times New Roman"/>
        <family val="1"/>
        <charset val="204"/>
      </rPr>
      <t xml:space="preserve"> » </t>
    </r>
    <r>
      <rPr>
        <u val="single"/>
        <sz val="12"/>
        <color rgb="FF000000"/>
        <rFont val="Times New Roman"/>
        <family val="1"/>
        <charset val="204"/>
      </rPr>
      <t xml:space="preserve">                           </t>
    </r>
    <r>
      <rPr>
        <sz val="12"/>
        <color rgb="FF000000"/>
        <rFont val="Times New Roman"/>
        <family val="1"/>
        <charset val="204"/>
      </rPr>
      <t xml:space="preserve"> 20 </t>
    </r>
    <r>
      <rPr>
        <u val="single"/>
        <sz val="12"/>
        <color rgb="FF000000"/>
        <rFont val="Times New Roman"/>
        <family val="1"/>
        <charset val="204"/>
      </rPr>
      <t xml:space="preserve">     </t>
    </r>
    <r>
      <rPr>
        <sz val="12"/>
        <color rgb="FF000000"/>
        <rFont val="Times New Roman"/>
        <family val="1"/>
        <charset val="204"/>
      </rPr>
      <t xml:space="preserve"> г.</t>
    </r>
  </si>
  <si>
    <t xml:space="preserve">Председатель комиссии:</t>
  </si>
  <si>
    <t xml:space="preserve">(фамилия, инициалы, ученая степень, ученое звание, должность)</t>
  </si>
  <si>
    <t xml:space="preserve">Члены комиссии:</t>
  </si>
  <si>
    <t xml:space="preserve">Прием кандидатского экзамена по научной специальности</t>
  </si>
  <si>
    <t xml:space="preserve">(шифр и наименование научной специальности, отрасль науки)</t>
  </si>
  <si>
    <t xml:space="preserve">по дисциплине</t>
  </si>
  <si>
    <t xml:space="preserve">(наименование дисциплины)</t>
  </si>
  <si>
    <t xml:space="preserve">СЛУШАЛИ</t>
  </si>
  <si>
    <t xml:space="preserve">(фамилия, имя, отчество экзаменуемого лица)</t>
  </si>
  <si>
    <t xml:space="preserve">На экзамене были заданы следующие вопросы:</t>
  </si>
  <si>
    <t xml:space="preserve">ПОСТАНОВИЛИ:</t>
  </si>
  <si>
    <t xml:space="preserve">сдал(а) экзамен с оценкой </t>
  </si>
  <si>
    <t xml:space="preserve">(фамилия, имя, отчество)</t>
  </si>
  <si>
    <t xml:space="preserve">Председатель комиссии</t>
  </si>
  <si>
    <t xml:space="preserve">(подпись)</t>
  </si>
  <si>
    <t xml:space="preserve">(фамилия, инициалы)</t>
  </si>
  <si>
    <t xml:space="preserve">Член комиссии</t>
  </si>
  <si>
    <t xml:space="preserve">Прием кандидатского экзамена по дисциплине</t>
  </si>
  <si>
    <t xml:space="preserve">Направление</t>
  </si>
  <si>
    <t xml:space="preserve">ФИО</t>
  </si>
  <si>
    <t xml:space="preserve">Члены комиссии №1:</t>
  </si>
  <si>
    <t xml:space="preserve">Члены комиссии №2:</t>
  </si>
  <si>
    <t xml:space="preserve">ПОСТАНОВИЛИ</t>
  </si>
  <si>
    <t xml:space="preserve">НАПРАВЛЕНИЕ</t>
  </si>
  <si>
    <t xml:space="preserve">АГАПОНОВА ДМИТРИЯ АНАТОЛЬЕВИЧА</t>
  </si>
  <si>
    <t xml:space="preserve">История и философия науки</t>
  </si>
  <si>
    <t xml:space="preserve">Состав комиссии (утверждён приказом ректора университета № 1/3-08 от 12 января 2026 г.)</t>
  </si>
  <si>
    <t xml:space="preserve">Медведев Н.В., доктор философских наук, профессор, профессор кафедры «История и философия» ФГБОУ ВО ТГУ им. Г.Р. Державина</t>
  </si>
  <si>
    <t xml:space="preserve">/ Н.В. Медведев /</t>
  </si>
  <si>
    <t xml:space="preserve">Вязинкин А.Ю., кандидат философских наук, доцент, доцент кафедры «История и философия», заместитель председателя комиссии</t>
  </si>
  <si>
    <t xml:space="preserve">/ А.Ю. Вязинкин /</t>
  </si>
  <si>
    <t xml:space="preserve">Кирякин А. В., кандидат философских наук, доцент кафедры «История и философия»</t>
  </si>
  <si>
    <t xml:space="preserve">/ А.В. Кирякин /</t>
  </si>
  <si>
    <t xml:space="preserve">Агапонов Дмитрий Анатольевич</t>
  </si>
  <si>
    <t xml:space="preserve">4.3.1 Технологии, машины и оборудование для агропромышленного комплекса</t>
  </si>
  <si>
    <t xml:space="preserve">АЛЬ СУДАНИ ЗАЙД АЛИ ХУССЕЙН</t>
  </si>
  <si>
    <t xml:space="preserve">Информатика и информационные процессы</t>
  </si>
  <si>
    <t xml:space="preserve">Громов Ю.Ю., доктор технических наук, профессор, директор института автоматики и информационных технологий</t>
  </si>
  <si>
    <t xml:space="preserve">/ Ю.Ю. Громов /</t>
  </si>
  <si>
    <t xml:space="preserve">Тютюнник В.М., доктор технических наук, профессор, профессор кафедры «Конструирование радиоэлектронных и микропроцессорных систем»</t>
  </si>
  <si>
    <t xml:space="preserve">/ В.М. Тютюнник /</t>
  </si>
  <si>
    <t xml:space="preserve">Минин Ю.В., кандидат технических наук, доцент, доцент кафедры «Информационные системы и защита информации»</t>
  </si>
  <si>
    <t xml:space="preserve">/ Ю.В. Минин /</t>
  </si>
  <si>
    <t xml:space="preserve">Аль Судани Зайд Али Хуссейн</t>
  </si>
  <si>
    <t xml:space="preserve">2.3.8. Информатика и информационные процессы (технические науки)</t>
  </si>
  <si>
    <t xml:space="preserve">АНТОНОВА ЕВГЕНИЯ АНДРЕЕВИЧА</t>
  </si>
  <si>
    <t xml:space="preserve">Радиотехника, в том числе системы и устройства телевидения</t>
  </si>
  <si>
    <t xml:space="preserve">Пудовкин А.П., доктор технических наук, профессор, зав. кафедрой «Радиотехника»</t>
  </si>
  <si>
    <t xml:space="preserve">/ А.П. Пудовкин /</t>
  </si>
  <si>
    <t xml:space="preserve">Данилов С.Н., доктор технических наук, профессор, профессор кафедры «Радиотехника»</t>
  </si>
  <si>
    <t xml:space="preserve">/ С.Н. Данилов /</t>
  </si>
  <si>
    <t xml:space="preserve">Иванов А.В., доктор технических наук, профессор, профессор кафедры «Радиотехника»</t>
  </si>
  <si>
    <t xml:space="preserve">/ А.В. Иванов /</t>
  </si>
  <si>
    <t xml:space="preserve">Антонов Евгений Андреевич</t>
  </si>
  <si>
    <t xml:space="preserve">2.2.13. Радиотехника, в том числе системы и устройства телевидения (технические науки)</t>
  </si>
  <si>
    <t xml:space="preserve">ЭЛЬБИЛТАДЖИ МАХМУД ХАТИМ САИД АХМЕД АБДИЛ ХАЛИМ</t>
  </si>
  <si>
    <t xml:space="preserve">Процессы и аппараты химических технологий</t>
  </si>
  <si>
    <t xml:space="preserve">Гатапова Н.Ц., доктор технических наук, профессор, зав. кафедрой «Технологические процессы, аппараты и техносферная безопасность»</t>
  </si>
  <si>
    <t xml:space="preserve">/ Н.Ц. Гатапова /</t>
  </si>
  <si>
    <t xml:space="preserve">Туголуков Е.Н., доктор технических наук, профессор, профессор кафедры «Техника и технологии производства нанопродуктов»</t>
  </si>
  <si>
    <t xml:space="preserve">/ Е.Н. Туголуков /</t>
  </si>
  <si>
    <t xml:space="preserve">Пахомов А.Н., доктор технических наук, доцент, доцент кафедры «Технологические процессы, аппараты и техносферная безопасность»</t>
  </si>
  <si>
    <t xml:space="preserve">/ А.Н. Пахомов /</t>
  </si>
  <si>
    <t xml:space="preserve">Эльбилтаджи Махмуд Хатим Саид Ахмед Абдил Халим</t>
  </si>
  <si>
    <t xml:space="preserve">2.6.13. Процессы и аппараты химических технологий (технические науки)</t>
  </si>
  <si>
    <t xml:space="preserve">ВОРОНКОВА РОМАНА ВЯЧЕСЛАВОВИЧА</t>
  </si>
  <si>
    <t xml:space="preserve">Автоматизация и управление технологическими процессами и производствами</t>
  </si>
  <si>
    <t xml:space="preserve">Матвейкин В.Г., доктор технических наук, профессор, зав. кафедрой «Информационные процессы и управление»</t>
  </si>
  <si>
    <t xml:space="preserve">/ В.Г. Матвейкин /</t>
  </si>
  <si>
    <t xml:space="preserve">Дмитриевский Б.С., доктор технических наук, профессор, профессор кафедры «Информационные процессы и управление»</t>
  </si>
  <si>
    <t xml:space="preserve">/ Б.С. Дмитриевский /</t>
  </si>
  <si>
    <t xml:space="preserve">Третьяков А.А., кандидат технических наук, доцент, доцент кафедры «Информационные процессы и управление»</t>
  </si>
  <si>
    <t xml:space="preserve">/ А.А. Третьяков /</t>
  </si>
  <si>
    <t xml:space="preserve">Воронков Роман Вячеславович</t>
  </si>
  <si>
    <t xml:space="preserve">2.3.3. Автоматизация и управление технологическими процессами и производствами (технические науки)</t>
  </si>
  <si>
    <t xml:space="preserve">ГРИГОРЬЕВА АНДРЕЯ АЛЕКСЕЕВИЧА</t>
  </si>
  <si>
    <t xml:space="preserve">Теоретико-исторические правовые науки</t>
  </si>
  <si>
    <t xml:space="preserve">Працко Г.С., доктор юридических наук, профессор, профессор кафедры «Теория и история государства и права»</t>
  </si>
  <si>
    <t xml:space="preserve">/ Г.С. Працко /</t>
  </si>
  <si>
    <t xml:space="preserve">Марченко А.Н., кандидат юридических наук, доцент, доцент кафедры «Гражданское право и процесс»</t>
  </si>
  <si>
    <t xml:space="preserve">/ А.Н. Марченко /</t>
  </si>
  <si>
    <t xml:space="preserve">Пугина О.А., кандидат юридических наук, доцент, доцент кафедры «Теория и история государства и права»</t>
  </si>
  <si>
    <t xml:space="preserve">/ О.А. Пугина /</t>
  </si>
  <si>
    <t xml:space="preserve">Григорьев Андрей Алексеевич</t>
  </si>
  <si>
    <t xml:space="preserve">5.1.1. Теоретико-исторические правовые науки (юридические науки)</t>
  </si>
  <si>
    <t xml:space="preserve">ДОЛГОВА ЕГОРА ПАВЛОВИЧА</t>
  </si>
  <si>
    <t xml:space="preserve">Приборы, системы и изделия медицинского назначения</t>
  </si>
  <si>
    <t xml:space="preserve">Фролов С.В., доктор технических наук, профессор, зав. кафедрой «Биомедицинская техника»</t>
  </si>
  <si>
    <t xml:space="preserve">/ С.В. Фролов /</t>
  </si>
  <si>
    <t xml:space="preserve">Проскурин С.Г., доктор технических наук, доцент, профессор кафедры «Биомедицинская техника»</t>
  </si>
  <si>
    <t xml:space="preserve">/ С.Г. Проскурин /</t>
  </si>
  <si>
    <t xml:space="preserve">Дубровин В.В., кандидат технических наук, доцент, доцент кафедры «Биомедицинская техника»</t>
  </si>
  <si>
    <t xml:space="preserve">/ В.В. Дубровин /</t>
  </si>
  <si>
    <t xml:space="preserve">Долгов Егор Павлович</t>
  </si>
  <si>
    <t xml:space="preserve">2.2.12. Приборы, системы и изделия медицинского назначения (технические науки)</t>
  </si>
  <si>
    <t xml:space="preserve">ЗВЕРЕВА МИХАИЛА ВАСИЛЬЕВИЧА</t>
  </si>
  <si>
    <t xml:space="preserve">Методы и приборы контроля и диагностики материалов, изделий, веществ и природной среды</t>
  </si>
  <si>
    <t xml:space="preserve">Состав комиссии (утверждён приказом ректора университета № 104/4-08 от 10 июня 2024 г.)</t>
  </si>
  <si>
    <t xml:space="preserve">Балабанов П.В., доктор технических наук, доцент, зав. кафедрой «Мехатроника и технологические измерения»</t>
  </si>
  <si>
    <t xml:space="preserve">/ П.В. Балабанов /</t>
  </si>
  <si>
    <t xml:space="preserve">Дивин А.Г., доктор технических наук, профессор, профессор кафедры «Мехатроника и технологические измерения»</t>
  </si>
  <si>
    <t xml:space="preserve">/ А.Г. Дивин /</t>
  </si>
  <si>
    <t xml:space="preserve">Пономарев С.В., доктор технических наук, профессор, профессор кафедры «Мехатроника и технологические измерения»</t>
  </si>
  <si>
    <t xml:space="preserve">/ С.В. Пономарев /</t>
  </si>
  <si>
    <t xml:space="preserve">Зверев Михаил Васильевич</t>
  </si>
  <si>
    <t xml:space="preserve">2.2.8. Методы и приборы контроля и диагностики материалов, изделий, веществ и природной среды (технические науки)</t>
  </si>
  <si>
    <t xml:space="preserve">КОНЕВА АНДРЕЯ ЮРЬЕВИЧА</t>
  </si>
  <si>
    <t xml:space="preserve">Технологии, машины и оборудование для агропромышленного комплекса</t>
  </si>
  <si>
    <t xml:space="preserve">Ведищев С.М., доктор технических наук, профессор, зав. кафедрой «Агроинженерия»</t>
  </si>
  <si>
    <t xml:space="preserve">/ С.М. Ведищев /</t>
  </si>
  <si>
    <t xml:space="preserve">Прохоров А.В., кандидат технических наук, доцент, доцент кафедры «Агроинженерия»</t>
  </si>
  <si>
    <t xml:space="preserve">/ А.В. Прохоров /</t>
  </si>
  <si>
    <t xml:space="preserve">Брусенков А.В., кандидат технических наук, доцент, доцент кафедры «Агроинженерия»</t>
  </si>
  <si>
    <t xml:space="preserve">/ А.В. Брусенков /</t>
  </si>
  <si>
    <t xml:space="preserve">Конев Андрей Юрьевич</t>
  </si>
  <si>
    <t xml:space="preserve">4.3.1. Технологии, машины и оборудование для агропромышленного комплекса (технические науки)</t>
  </si>
  <si>
    <t xml:space="preserve">КОНЬКОВА ИЛЬЮ АЛЕКСЕЕВИЧА</t>
  </si>
  <si>
    <t xml:space="preserve">Коньков Илья Алексеевич</t>
  </si>
  <si>
    <t xml:space="preserve">КРЫЛОВА АЛЕКСЕЯ ВИКТОРОВИЧА</t>
  </si>
  <si>
    <t xml:space="preserve">Технология электрохимических процессов и защита от коррозии</t>
  </si>
  <si>
    <t xml:space="preserve">Лазарев С.И., доктор технических наук, профессор, директор научно-образовательного центра в области безотходных и малоотходных технологий</t>
  </si>
  <si>
    <t xml:space="preserve">/ С.И. Лазарев /</t>
  </si>
  <si>
    <t xml:space="preserve">Абоносимов О.А., доктор технических наук, доцент, научный сотрудник научно-образовательного центра в области безотходных и малоотходных технологий</t>
  </si>
  <si>
    <t xml:space="preserve">/ О.А. Абоносимов /</t>
  </si>
  <si>
    <t xml:space="preserve">Зарапина И.В., кандидат химических наук, доцент, доцент кафедры «Химия и химические технологии»</t>
  </si>
  <si>
    <t xml:space="preserve">/ И.В. Зарапина /</t>
  </si>
  <si>
    <t xml:space="preserve">Крылов Алексей Викторович</t>
  </si>
  <si>
    <t xml:space="preserve">2.6.9. Технология электрохимических процессов и защита от коррозии (технические науки)</t>
  </si>
  <si>
    <t xml:space="preserve">ЛИШНИХ МИХАИЛА АЛЕКСЕЕВИЧА</t>
  </si>
  <si>
    <t xml:space="preserve">Нанотехнологии и наноматериалы</t>
  </si>
  <si>
    <t xml:space="preserve">Ткачев А.Г., доктор технических наук, профессор, зав. кафедрой «Техника и технологии производства нанопродуктов»</t>
  </si>
  <si>
    <t xml:space="preserve">/ А.Г. Ткачев /</t>
  </si>
  <si>
    <t xml:space="preserve">Буракова Е.А, доктор технических наук, доцент, доцент кафедры «Техника и технологии производства нанопродуктов»</t>
  </si>
  <si>
    <t xml:space="preserve">/  Е.А Буракова /</t>
  </si>
  <si>
    <t xml:space="preserve">Лишних Михаил Алексеевич</t>
  </si>
  <si>
    <t xml:space="preserve">2.6.6. Нанотехнологии и наноматериалы (технические науки)</t>
  </si>
  <si>
    <t xml:space="preserve">Аль-Амери Саджа Нафеа Мохсин</t>
  </si>
  <si>
    <t xml:space="preserve">АХН21</t>
  </si>
  <si>
    <t xml:space="preserve">Рухов Антон Викторович</t>
  </si>
  <si>
    <t xml:space="preserve">Хан Юлиан Александрович</t>
  </si>
  <si>
    <t xml:space="preserve">АХН31</t>
  </si>
  <si>
    <t xml:space="preserve">Наякшин Дмитрий Андреевич</t>
  </si>
  <si>
    <t xml:space="preserve">АЗС11</t>
  </si>
  <si>
    <t xml:space="preserve">Баламутова Анна Андреевна</t>
  </si>
  <si>
    <t xml:space="preserve">АЗС11з</t>
  </si>
  <si>
    <t xml:space="preserve">Зотов Евгений Сергеевич</t>
  </si>
  <si>
    <t xml:space="preserve">АСТ11</t>
  </si>
  <si>
    <t xml:space="preserve">Кейта Яя</t>
  </si>
  <si>
    <t xml:space="preserve">АСТ21</t>
  </si>
  <si>
    <t xml:space="preserve">Хайдар Фарис</t>
  </si>
  <si>
    <t xml:space="preserve">Аль-Накди Ибтехаль Абдулмонем Али</t>
  </si>
  <si>
    <t xml:space="preserve">АСТ31</t>
  </si>
  <si>
    <t xml:space="preserve">Путинцева Анастасия Александровна</t>
  </si>
  <si>
    <t xml:space="preserve">Альджабуби Дхафер Зейд Мохаммед</t>
  </si>
  <si>
    <t xml:space="preserve">АСТ41</t>
  </si>
  <si>
    <t xml:space="preserve">Яровая Татьяна Сергеевна</t>
  </si>
  <si>
    <t xml:space="preserve">Кузнецов Владислав Андреевич</t>
  </si>
  <si>
    <t xml:space="preserve">АСТ22</t>
  </si>
  <si>
    <t xml:space="preserve">Селезнев Артем Денисович</t>
  </si>
  <si>
    <t xml:space="preserve">Алани Имам</t>
  </si>
  <si>
    <t xml:space="preserve">АСТ32</t>
  </si>
  <si>
    <t xml:space="preserve">Дубровин Алексей Иванович</t>
  </si>
  <si>
    <t xml:space="preserve">АСТ42</t>
  </si>
  <si>
    <t xml:space="preserve">Зарапина Любовь Сергеевна</t>
  </si>
  <si>
    <t xml:space="preserve">АСТ13</t>
  </si>
  <si>
    <t xml:space="preserve">Макая Лионель Мавунгу</t>
  </si>
  <si>
    <t xml:space="preserve">АСТ13з</t>
  </si>
  <si>
    <t xml:space="preserve">Голованев Алексей Сергеевич</t>
  </si>
  <si>
    <t xml:space="preserve">АСТ23з</t>
  </si>
  <si>
    <t xml:space="preserve">Бехзоди Бахтиёр</t>
  </si>
  <si>
    <t xml:space="preserve">АСТ53з</t>
  </si>
  <si>
    <t xml:space="preserve">Сенибабнов Сергей Анатольевич</t>
  </si>
  <si>
    <t xml:space="preserve">Николюкин Максим Сергеевич</t>
  </si>
  <si>
    <t xml:space="preserve">АВТ11</t>
  </si>
  <si>
    <t xml:space="preserve">Батурина Елена Викторовна</t>
  </si>
  <si>
    <t xml:space="preserve">АВТ21</t>
  </si>
  <si>
    <t xml:space="preserve">Мартьянов Евгений Игоревич</t>
  </si>
  <si>
    <t xml:space="preserve">Меркушова Кристина Андреевна</t>
  </si>
  <si>
    <t xml:space="preserve">Эль Эиссави Бадр Халил Махмуд</t>
  </si>
  <si>
    <t xml:space="preserve">Аль-Магсусии Хасан Фалих Хасан</t>
  </si>
  <si>
    <t xml:space="preserve">АВТ31</t>
  </si>
  <si>
    <t xml:space="preserve">Архипов Алексей Евгениевич</t>
  </si>
  <si>
    <t xml:space="preserve">Сиухин Александр Андреевич</t>
  </si>
  <si>
    <t xml:space="preserve">Аль-Амиди Мустафа Абдулкадим Дхаир</t>
  </si>
  <si>
    <t xml:space="preserve">АВТ12</t>
  </si>
  <si>
    <t xml:space="preserve">Аль Кнфер Самер Нахи Альван</t>
  </si>
  <si>
    <t xml:space="preserve">АВТ22</t>
  </si>
  <si>
    <t xml:space="preserve">Нсено-Пемби Дон-Юни</t>
  </si>
  <si>
    <t xml:space="preserve">Аль Руешд Моханад Хилаль Хамиди</t>
  </si>
  <si>
    <t xml:space="preserve">АВТ32</t>
  </si>
  <si>
    <t xml:space="preserve">Соловьева Инна Александровна</t>
  </si>
  <si>
    <t xml:space="preserve">Лемкина Мария Владимировна</t>
  </si>
  <si>
    <t xml:space="preserve">АВТ42</t>
  </si>
  <si>
    <t xml:space="preserve">Деяб Али Абдулсахиб Деяб</t>
  </si>
  <si>
    <t xml:space="preserve">АВТ24</t>
  </si>
  <si>
    <t xml:space="preserve">Пчелинцева Ирина Юрьевна</t>
  </si>
  <si>
    <t xml:space="preserve">Алехин Павел Андреевич</t>
  </si>
  <si>
    <t xml:space="preserve">АВТ34</t>
  </si>
  <si>
    <t xml:space="preserve">Банников Андрей Алексеевич</t>
  </si>
  <si>
    <t xml:space="preserve">Абд Али Хуссейн Наджм Абд Али</t>
  </si>
  <si>
    <t xml:space="preserve">АВТ15</t>
  </si>
  <si>
    <t xml:space="preserve">Альшатари Каррар Зухаир Хасан</t>
  </si>
  <si>
    <t xml:space="preserve">Дубровина Оксана Васильевна</t>
  </si>
  <si>
    <t xml:space="preserve">Чиликин Георгий Олегович</t>
  </si>
  <si>
    <t xml:space="preserve">Абд Алхади Хедр</t>
  </si>
  <si>
    <t xml:space="preserve">АВТ25</t>
  </si>
  <si>
    <t xml:space="preserve">Аль Каркхи Мустафа Мохаммед Сакран</t>
  </si>
  <si>
    <t xml:space="preserve">Уланов Антон Олегович</t>
  </si>
  <si>
    <t xml:space="preserve">АВТ35</t>
  </si>
  <si>
    <t xml:space="preserve">Шабанов Константин Борисович</t>
  </si>
  <si>
    <t xml:space="preserve">Алмали Ахмед Аднан Латиф</t>
  </si>
  <si>
    <t xml:space="preserve">АВТ45</t>
  </si>
  <si>
    <t xml:space="preserve">Аль-Маамари Гассан Абдулла Абдулвасиа</t>
  </si>
  <si>
    <t xml:space="preserve">Аль-Раммахи Али Абидалкарим Хабиб</t>
  </si>
  <si>
    <t xml:space="preserve">Высоцкий Андрей Владимирович</t>
  </si>
  <si>
    <t xml:space="preserve">Давыдова Наталия Александровна</t>
  </si>
  <si>
    <t xml:space="preserve">Сари Фарах Аббас Обаид</t>
  </si>
  <si>
    <t xml:space="preserve">Аль Зурфи Мохаммед Хуссейн Мифтах</t>
  </si>
  <si>
    <t xml:space="preserve">АИБ11</t>
  </si>
  <si>
    <t xml:space="preserve">Зайцев Александр Евгеньевич</t>
  </si>
  <si>
    <t xml:space="preserve">Тихомирова Алина Александровна</t>
  </si>
  <si>
    <t xml:space="preserve">Моисеева Мария Владимировна</t>
  </si>
  <si>
    <t xml:space="preserve">АИБ31</t>
  </si>
  <si>
    <t xml:space="preserve">Сустин Александр Иванович</t>
  </si>
  <si>
    <t xml:space="preserve">АЭР21</t>
  </si>
  <si>
    <t xml:space="preserve">Удалова Анастасия Петровна</t>
  </si>
  <si>
    <t xml:space="preserve">АЭР41</t>
  </si>
  <si>
    <t xml:space="preserve">Кирюпин Михаил Михайлович</t>
  </si>
  <si>
    <t xml:space="preserve">АЭР12</t>
  </si>
  <si>
    <t xml:space="preserve">Диумесси Мори Фоде</t>
  </si>
  <si>
    <t xml:space="preserve">АЭР32</t>
  </si>
  <si>
    <t xml:space="preserve">Колмыкова Анастасия Сергеевна</t>
  </si>
  <si>
    <t xml:space="preserve">Наумова Анастасия Юрьевна</t>
  </si>
  <si>
    <t xml:space="preserve">Захаров Юрий Андреевич</t>
  </si>
  <si>
    <t xml:space="preserve">АБС11</t>
  </si>
  <si>
    <t xml:space="preserve">Кене Тагне Мартин</t>
  </si>
  <si>
    <t xml:space="preserve">Корпусов Дмитрий Владимирович</t>
  </si>
  <si>
    <t xml:space="preserve">Рязанов Иван Викторович</t>
  </si>
  <si>
    <t xml:space="preserve">Лоскутова Анна Давидовна</t>
  </si>
  <si>
    <t xml:space="preserve">АБС21</t>
  </si>
  <si>
    <t xml:space="preserve">Небываев Артемий Вячеславович</t>
  </si>
  <si>
    <t xml:space="preserve">Барсуков Александр Андреевич</t>
  </si>
  <si>
    <t xml:space="preserve">АБС31</t>
  </si>
  <si>
    <t xml:space="preserve">Жиркова Александра Александровна</t>
  </si>
  <si>
    <t xml:space="preserve">Чапаксов Николай Андреевич</t>
  </si>
  <si>
    <t xml:space="preserve">Сафонова Маргарита Эдуардовна</t>
  </si>
  <si>
    <t xml:space="preserve">АБС41</t>
  </si>
  <si>
    <t xml:space="preserve">Савинова Кристина Сергеевна</t>
  </si>
  <si>
    <t xml:space="preserve">АБС12</t>
  </si>
  <si>
    <t xml:space="preserve">Судаков Дмитрий Евгеньевич</t>
  </si>
  <si>
    <t xml:space="preserve">Куликов Роман Андреевич</t>
  </si>
  <si>
    <t xml:space="preserve">АБС22</t>
  </si>
  <si>
    <t xml:space="preserve">Непрокин Алексей Владимирович</t>
  </si>
  <si>
    <t xml:space="preserve">Болдырев Дмитрий Валерьевич</t>
  </si>
  <si>
    <t xml:space="preserve">АБС32</t>
  </si>
  <si>
    <t xml:space="preserve">Трубиенко Артем Александрович</t>
  </si>
  <si>
    <t xml:space="preserve">Новохацкий Денис Юрьевич</t>
  </si>
  <si>
    <t xml:space="preserve">АБС42</t>
  </si>
  <si>
    <t xml:space="preserve">Дементьев Роман Олегович</t>
  </si>
  <si>
    <t xml:space="preserve">АБС13</t>
  </si>
  <si>
    <t xml:space="preserve">Гришин Александр Витальевич</t>
  </si>
  <si>
    <t xml:space="preserve">АБС43</t>
  </si>
  <si>
    <t xml:space="preserve">Беларусси Уссама</t>
  </si>
  <si>
    <t xml:space="preserve">АЭТ21</t>
  </si>
  <si>
    <t xml:space="preserve">Лешелах Ахмед</t>
  </si>
  <si>
    <t xml:space="preserve">АЭТ31</t>
  </si>
  <si>
    <t xml:space="preserve">Шауки Илиес</t>
  </si>
  <si>
    <t xml:space="preserve">Альдавуд Саиф Сухайл Юсиф</t>
  </si>
  <si>
    <t xml:space="preserve">АМС12</t>
  </si>
  <si>
    <t xml:space="preserve">Зорина Ольга Александровна</t>
  </si>
  <si>
    <t xml:space="preserve">Махмуд Мохаммед Али Сами</t>
  </si>
  <si>
    <t xml:space="preserve">Усман Фиделис Джонах</t>
  </si>
  <si>
    <t xml:space="preserve">Зайцев Игорь Анатольевич</t>
  </si>
  <si>
    <t xml:space="preserve">АМС22</t>
  </si>
  <si>
    <t xml:space="preserve">Курносов Дмитрий Александрович</t>
  </si>
  <si>
    <t xml:space="preserve">Мансур Васем</t>
  </si>
  <si>
    <t xml:space="preserve">Баити Адель</t>
  </si>
  <si>
    <t xml:space="preserve">АМС22з</t>
  </si>
  <si>
    <t xml:space="preserve">Аль-Джарах Руаа Амер Салим</t>
  </si>
  <si>
    <t xml:space="preserve">АМС32</t>
  </si>
  <si>
    <t xml:space="preserve">Воронин Николай Владимирович</t>
  </si>
  <si>
    <t xml:space="preserve">Попова Алёна Алексеевна</t>
  </si>
  <si>
    <t xml:space="preserve">Кузнецова Татьяна Сергеевна</t>
  </si>
  <si>
    <t xml:space="preserve">АМС42</t>
  </si>
  <si>
    <t xml:space="preserve">Кодиров Бунёд Бахтиёрович</t>
  </si>
  <si>
    <t xml:space="preserve">АМС42з</t>
  </si>
  <si>
    <t xml:space="preserve">Курьято Николай Алексеевич</t>
  </si>
  <si>
    <t xml:space="preserve">АХТ11</t>
  </si>
  <si>
    <t xml:space="preserve">Михайлин Максим Игоревич</t>
  </si>
  <si>
    <t xml:space="preserve">Котенев Сергей Игоревич</t>
  </si>
  <si>
    <t xml:space="preserve">АХТ21</t>
  </si>
  <si>
    <t xml:space="preserve">Лазарев Дмитрий Сергеевич</t>
  </si>
  <si>
    <t xml:space="preserve">Луа Пепе</t>
  </si>
  <si>
    <t xml:space="preserve">Родионов Дмитрий Александрович</t>
  </si>
  <si>
    <t xml:space="preserve">АХТ31</t>
  </si>
  <si>
    <t xml:space="preserve">Хохлов Павел Анатольевич</t>
  </si>
  <si>
    <t xml:space="preserve">Левин Александр Александрович</t>
  </si>
  <si>
    <t xml:space="preserve">АХТ41</t>
  </si>
  <si>
    <t xml:space="preserve">Еськова Мария Александровна</t>
  </si>
  <si>
    <t xml:space="preserve">АХТ13</t>
  </si>
  <si>
    <t xml:space="preserve">Еськов Владимир Александрович</t>
  </si>
  <si>
    <t xml:space="preserve">АХТ23</t>
  </si>
  <si>
    <t xml:space="preserve">Мкртчян Элина Сааковна</t>
  </si>
  <si>
    <t xml:space="preserve">Устинская Яна Витальевна</t>
  </si>
  <si>
    <t xml:space="preserve">Акопян Сергей Акопович</t>
  </si>
  <si>
    <t xml:space="preserve">АХТ33</t>
  </si>
  <si>
    <t xml:space="preserve">Алаамери Ехсан Хашим Мохаммед</t>
  </si>
  <si>
    <t xml:space="preserve">Джубари Мохаммед Кадер Абдулрахман</t>
  </si>
  <si>
    <t xml:space="preserve">Захиват Муртада Мохммед Аттья</t>
  </si>
  <si>
    <t xml:space="preserve">Тараканов Александр Геннадьевич</t>
  </si>
  <si>
    <t xml:space="preserve">Балашова Евгения Андреевна</t>
  </si>
  <si>
    <t xml:space="preserve">АХТ43</t>
  </si>
  <si>
    <t xml:space="preserve">Банин Роман Юрьевич</t>
  </si>
  <si>
    <t xml:space="preserve">Игнатов Николай Николаевич</t>
  </si>
  <si>
    <t xml:space="preserve">Муратова Наталья Сергеевна</t>
  </si>
  <si>
    <t xml:space="preserve">Лазеев Александр Сергеевич</t>
  </si>
  <si>
    <t xml:space="preserve">АУТ12</t>
  </si>
  <si>
    <t xml:space="preserve">Терехова Анастасия Андреевна</t>
  </si>
  <si>
    <t xml:space="preserve">Василевский Константин Сергеевич</t>
  </si>
  <si>
    <t xml:space="preserve">АУТ22</t>
  </si>
  <si>
    <t xml:space="preserve">Кох-Татаренко Вадим Станиславович</t>
  </si>
  <si>
    <t xml:space="preserve">АУТ32</t>
  </si>
  <si>
    <t xml:space="preserve">Насрауи Марием</t>
  </si>
  <si>
    <t xml:space="preserve">АУТ42</t>
  </si>
  <si>
    <t xml:space="preserve">Залукаева Наталия Юрьевна</t>
  </si>
  <si>
    <t xml:space="preserve">АУТ35</t>
  </si>
  <si>
    <t xml:space="preserve">Земцова Наталия Викторовна</t>
  </si>
  <si>
    <t xml:space="preserve">АНИ11</t>
  </si>
  <si>
    <t xml:space="preserve">Рыжкин Владимир Юрьевич</t>
  </si>
  <si>
    <t xml:space="preserve">Хробак Анастасия Витальевна</t>
  </si>
  <si>
    <t xml:space="preserve">Аль-Баирмани Али Таир Рахим</t>
  </si>
  <si>
    <t xml:space="preserve">АНИ21</t>
  </si>
  <si>
    <t xml:space="preserve">Аль-Халиди Мустафа Тамер Али</t>
  </si>
  <si>
    <t xml:space="preserve">Эззеддин Бахаа</t>
  </si>
  <si>
    <t xml:space="preserve">Аль-Машхадани Али Мохаммед Рашид</t>
  </si>
  <si>
    <t xml:space="preserve">АНИ31</t>
  </si>
  <si>
    <t xml:space="preserve">Алхило Заман Абуд Алмалик Абуд Али</t>
  </si>
  <si>
    <t xml:space="preserve">АНИ41</t>
  </si>
  <si>
    <t xml:space="preserve">Аль-Шариф Али Джалаль Али</t>
  </si>
  <si>
    <t xml:space="preserve">Слдозьян Рами Джозеф Агаджан</t>
  </si>
  <si>
    <t xml:space="preserve">Глазков Андрей Юрьевич</t>
  </si>
  <si>
    <t xml:space="preserve">ААИ11</t>
  </si>
  <si>
    <t xml:space="preserve">Жариков Вадим Сергеевич</t>
  </si>
  <si>
    <t xml:space="preserve">Альшинайиин Хайдер Джамил Джабер</t>
  </si>
  <si>
    <t xml:space="preserve">ААИ31</t>
  </si>
  <si>
    <t xml:space="preserve">Кажияхметова Аинур Ароновна</t>
  </si>
  <si>
    <t xml:space="preserve">ААИ41з</t>
  </si>
  <si>
    <t xml:space="preserve">Аль-Явар Али Адиб Фадил</t>
  </si>
  <si>
    <t xml:space="preserve">АЭК11</t>
  </si>
  <si>
    <t xml:space="preserve">Молонгуа Мечеба Сергио Ренато</t>
  </si>
  <si>
    <t xml:space="preserve">АЭК11з</t>
  </si>
  <si>
    <t xml:space="preserve">Штанько Оксана Павловна</t>
  </si>
  <si>
    <t xml:space="preserve">Бутенко Антон Алексеевич</t>
  </si>
  <si>
    <t xml:space="preserve">АЭК21</t>
  </si>
  <si>
    <t xml:space="preserve">Капия Тинотенда Карлтон</t>
  </si>
  <si>
    <t xml:space="preserve">Калашников Павел Олегович</t>
  </si>
  <si>
    <t xml:space="preserve">АЭК21з</t>
  </si>
  <si>
    <t xml:space="preserve">Айвазян Нарек Ладикович</t>
  </si>
  <si>
    <t xml:space="preserve">АЭК31</t>
  </si>
  <si>
    <t xml:space="preserve">Аль-Хамдави Алаа Аммар Талиб</t>
  </si>
  <si>
    <t xml:space="preserve">Филиппова Мария Игоревна</t>
  </si>
  <si>
    <t xml:space="preserve">АЭК41з</t>
  </si>
  <si>
    <t xml:space="preserve">Мобио Акун Анна Стефани Роз И</t>
  </si>
  <si>
    <t xml:space="preserve">АЭК22</t>
  </si>
  <si>
    <t xml:space="preserve">Шустова Вера Николаевна</t>
  </si>
  <si>
    <t xml:space="preserve">АЭК22з</t>
  </si>
  <si>
    <t xml:space="preserve">Аль Дахери Абан Аббас Абдулла</t>
  </si>
  <si>
    <t xml:space="preserve">АПР11</t>
  </si>
  <si>
    <t xml:space="preserve">Альаруси Закария Мунассар Мухаммад</t>
  </si>
  <si>
    <t xml:space="preserve">Кузнецова Елена Анатольевна</t>
  </si>
  <si>
    <t xml:space="preserve">Александров Артём Романович</t>
  </si>
  <si>
    <t xml:space="preserve">АПР41з</t>
  </si>
  <si>
    <t xml:space="preserve">Воронова Светлана Владимировна</t>
  </si>
  <si>
    <t xml:space="preserve">Евдокимов Александр Святославович</t>
  </si>
  <si>
    <t xml:space="preserve">Юрина Ирина Анатольевна</t>
  </si>
  <si>
    <t xml:space="preserve">АЯЛ42з</t>
  </si>
  <si>
    <t xml:space="preserve">Подлеснов Владимир Ильич</t>
  </si>
  <si>
    <t xml:space="preserve">АИА21з</t>
  </si>
  <si>
    <t xml:space="preserve">ФИО Полностью - в дательном падеже</t>
  </si>
  <si>
    <t xml:space="preserve">Д</t>
  </si>
  <si>
    <t xml:space="preserve">М</t>
  </si>
  <si>
    <t xml:space="preserve">Г</t>
  </si>
  <si>
    <t xml:space="preserve">№</t>
  </si>
  <si>
    <t xml:space="preserve">c (приказ №, дата)</t>
  </si>
  <si>
    <t xml:space="preserve">по (приказ №, дата)</t>
  </si>
  <si>
    <t xml:space="preserve">ФИО - Фамилия+инициалы</t>
  </si>
  <si>
    <t xml:space="preserve">ШЕЛЬ ЕВГЕНИИ ЮРЬЕВНЕ</t>
  </si>
  <si>
    <t xml:space="preserve">01</t>
  </si>
  <si>
    <t xml:space="preserve">сентября</t>
  </si>
  <si>
    <t xml:space="preserve">962-08</t>
  </si>
  <si>
    <t xml:space="preserve">19</t>
  </si>
  <si>
    <t xml:space="preserve">августа</t>
  </si>
  <si>
    <t xml:space="preserve">Дата</t>
  </si>
  <si>
    <t xml:space="preserve">Месяц</t>
  </si>
  <si>
    <t xml:space="preserve">Год</t>
  </si>
  <si>
    <t xml:space="preserve">???</t>
  </si>
  <si>
    <t xml:space="preserve">Шель Евгения Юрьевна</t>
  </si>
  <si>
    <t xml:space="preserve">ДАНИШ АБДУЛ БАРЕЙ</t>
  </si>
  <si>
    <t xml:space="preserve">31</t>
  </si>
  <si>
    <t xml:space="preserve">октября</t>
  </si>
  <si>
    <t xml:space="preserve">1402-08</t>
  </si>
  <si>
    <t xml:space="preserve">Даниш Абдул Барей</t>
  </si>
  <si>
    <t xml:space="preserve">МЕРКУШЕВОЙ НАТАЛИИ ПАВЛОВНЕ</t>
  </si>
  <si>
    <t xml:space="preserve">Меркушева Наталия Павловна</t>
  </si>
  <si>
    <t xml:space="preserve">СТРУЛЕВОЙ ИРИНЕ АЛЕКСАНДРОВНЕ</t>
  </si>
  <si>
    <t xml:space="preserve">Струлева Ирина Александровна</t>
  </si>
  <si>
    <t xml:space="preserve">МАЗАЛОВУ АЛЕКСАНДРУ НИКОЛАЕВИЧУ</t>
  </si>
  <si>
    <t xml:space="preserve">Мазалов Александр Николаевич</t>
  </si>
  <si>
    <t xml:space="preserve">МИНАЕВУ ЕВГЕНИЮ АНДРЕЕВИЧУ</t>
  </si>
  <si>
    <t xml:space="preserve">Минаев Евгений Андреевич</t>
  </si>
  <si>
    <t xml:space="preserve">ТРЕФИЛОВУ ПАВЛУ АЛЕКСАНДРОВИЧУ</t>
  </si>
  <si>
    <t xml:space="preserve">Трефилов Павел Александрович</t>
  </si>
  <si>
    <t xml:space="preserve">СЫЧЕВУ ВЛАДИСЛАВУ АНДРЕЕВИЧУ</t>
  </si>
  <si>
    <t xml:space="preserve">Сычев Владислав Андреевич</t>
  </si>
  <si>
    <t xml:space="preserve">АЛИЕВУ НАРИМАН ЭЛЬШАН ОГЛЫ</t>
  </si>
  <si>
    <t xml:space="preserve">Алиев Нариман Эльшан оглы</t>
  </si>
  <si>
    <t xml:space="preserve">ТРОФИМОВУ ДЕНИСУ ВАЛЕРЬЕВИЧУ</t>
  </si>
  <si>
    <t xml:space="preserve">1016-08</t>
  </si>
  <si>
    <t xml:space="preserve">18</t>
  </si>
  <si>
    <t xml:space="preserve">Трофимов Денис Валерьевич</t>
  </si>
  <si>
    <t xml:space="preserve">ГОРБУНОВОЙ АНАСТАСИИ ЮРЬЕВНЕ</t>
  </si>
  <si>
    <t xml:space="preserve">Горбунова Анастасия Юрьевна</t>
  </si>
  <si>
    <t xml:space="preserve">ЯГУБОВУ ВИКТОРУ САХИБОВИЧУ</t>
  </si>
  <si>
    <t xml:space="preserve">Ягубов Виктор Сахибович</t>
  </si>
  <si>
    <t xml:space="preserve">БОРИСКИНОЙ ЕКАТЕРИНЕ АЛЕКСЕЕВНЕ</t>
  </si>
  <si>
    <t xml:space="preserve">Борискина Екатерина Алексеевна</t>
  </si>
  <si>
    <t xml:space="preserve">САМОХИНОЙ ВЕРОНИКЕ АЛЕКСЕЕВНЕ</t>
  </si>
  <si>
    <t xml:space="preserve">Самохина Вероника Алексеевна</t>
  </si>
  <si>
    <t xml:space="preserve">ЧЕПУРНОВОЙ АЛЕКСАНДРЕ ВЛАДИМИРОВНЕ</t>
  </si>
  <si>
    <t xml:space="preserve">Чепурнова Александра Владимировна</t>
  </si>
  <si>
    <t xml:space="preserve">БАБКИНУ АЛЕКСАНДРУ ВИКТОРОВИЧУ</t>
  </si>
  <si>
    <t xml:space="preserve">Бабкин Александр Викторович</t>
  </si>
  <si>
    <t xml:space="preserve">НЕСКОРОМНОЙ ЕЛЕНЕ АНАТОЛЬЕВНЕ</t>
  </si>
  <si>
    <t xml:space="preserve">Нескоромная Елена Анатольевна</t>
  </si>
  <si>
    <t xml:space="preserve">НИКОЛЮКИНУ АЛЕКСЕЮ НИКОЛАЕВИЧУ</t>
  </si>
  <si>
    <t xml:space="preserve">987-08</t>
  </si>
  <si>
    <t xml:space="preserve">26</t>
  </si>
  <si>
    <t xml:space="preserve">Николюкин Алексей Николаевич</t>
  </si>
  <si>
    <t xml:space="preserve">АЛЬ ФАДХЛИ КХАЗААЛ ХАМИД КХАЗААЛ</t>
  </si>
  <si>
    <t xml:space="preserve">04</t>
  </si>
  <si>
    <t xml:space="preserve">1270-08</t>
  </si>
  <si>
    <t xml:space="preserve">Аль Фадхли Кхазаал Хамид Кхазаал</t>
  </si>
  <si>
    <t xml:space="preserve">БЕСПЕРСТОВОЙ ГАЛИНЕ СЕРГЕЕВНЕ</t>
  </si>
  <si>
    <t xml:space="preserve">963-08</t>
  </si>
  <si>
    <t xml:space="preserve">Бесперстова Галина Сергеевна</t>
  </si>
  <si>
    <t xml:space="preserve">СМОЛЬСКОМУ ГРИГОРИЮ ВЛАДИМИРОВИЧУ</t>
  </si>
  <si>
    <t xml:space="preserve">Смольский Григорий Владимирович</t>
  </si>
  <si>
    <t xml:space="preserve">ДОБРОСОЦКОМУ НИКОЛАЮ ИВАНОВИЧУ</t>
  </si>
  <si>
    <t xml:space="preserve">964-08</t>
  </si>
  <si>
    <t xml:space="preserve">07</t>
  </si>
  <si>
    <t xml:space="preserve">июля</t>
  </si>
  <si>
    <t xml:space="preserve">122/7-08</t>
  </si>
  <si>
    <t xml:space="preserve">Добросоцкий Николай Иванович</t>
  </si>
  <si>
    <t xml:space="preserve">ФАРАХШИНОЙ ИРАИДЕ ВАЛЕРЬЕВНЕ</t>
  </si>
  <si>
    <t xml:space="preserve">1023-08</t>
  </si>
  <si>
    <t xml:space="preserve">21</t>
  </si>
  <si>
    <t xml:space="preserve">Фарахшина Ираида Валерьевна</t>
  </si>
  <si>
    <t xml:space="preserve">АЛФЕДЕЙЛАТ ФЕРАС М М</t>
  </si>
  <si>
    <t xml:space="preserve">27</t>
  </si>
  <si>
    <t xml:space="preserve">1286-08</t>
  </si>
  <si>
    <t xml:space="preserve">Алфедейлат Ферас М М</t>
  </si>
  <si>
    <t xml:space="preserve">КАРГАНОВОЙ АЛИНЕ ЮРЬЕВНЕ</t>
  </si>
  <si>
    <t xml:space="preserve">895-08</t>
  </si>
  <si>
    <t xml:space="preserve">Карганова Алина Юрьевна</t>
  </si>
  <si>
    <t xml:space="preserve">ЛАКОМКИНУ НИКИТЕ АЛЕКСЕЕВИЧУ</t>
  </si>
  <si>
    <t xml:space="preserve">Лакомкин Никита Алексеевич</t>
  </si>
  <si>
    <t xml:space="preserve">СОСЮРЕ ДАНИИЛУ ДМИТРИЕВИЧУ</t>
  </si>
  <si>
    <t xml:space="preserve">Сосюра Даниил Дмитриевич</t>
  </si>
  <si>
    <t xml:space="preserve">КОЗЛОВОЙ ЮЛИИ АЛЕКСЕЕВНЕ</t>
  </si>
  <si>
    <t xml:space="preserve">Козлова Юлия Алексеевна</t>
  </si>
  <si>
    <t xml:space="preserve">СУХОРУКОВОЙ ТАТЬЯНЕ АЛЕКСАНДРОВНЕ</t>
  </si>
  <si>
    <t xml:space="preserve">Сухорукова Татьяна  Александровна</t>
  </si>
  <si>
    <t xml:space="preserve">СВИТАВСКОМУ ЕВГЕНИЮ ВАЛЕРЬЕВИЧУ</t>
  </si>
  <si>
    <t xml:space="preserve">Свитавский Евгений Валерьевич</t>
  </si>
  <si>
    <t xml:space="preserve">АПРАКСИНОЙ ОЛЬГЕ НИКОЛАЕВНЕ</t>
  </si>
  <si>
    <t xml:space="preserve">Апраксина Ольга Николаевна</t>
  </si>
  <si>
    <t xml:space="preserve">КАРТАШОВОЙ АЛЛЕ ГЕННАДЬЕВНЕ</t>
  </si>
  <si>
    <t xml:space="preserve">Карташова Алла Геннадьевна</t>
  </si>
  <si>
    <t xml:space="preserve">СУОП КАМТО ПОЛИН</t>
  </si>
  <si>
    <t xml:space="preserve">Суоп Камто Полин</t>
  </si>
  <si>
    <t xml:space="preserve">Шифр</t>
  </si>
  <si>
    <t xml:space="preserve">направление подготовки научно-педагогических кадров в аспирантуре </t>
  </si>
  <si>
    <t xml:space="preserve">Профиль</t>
  </si>
  <si>
    <t xml:space="preserve">по образовательной программе, соответствующей специальности  научных работников</t>
  </si>
  <si>
    <t xml:space="preserve">Дисциплина профиля Б1.В.ОД.4</t>
  </si>
  <si>
    <t xml:space="preserve">04.06.01</t>
  </si>
  <si>
    <t xml:space="preserve">Химические науки</t>
  </si>
  <si>
    <t xml:space="preserve">04.06.01.01</t>
  </si>
  <si>
    <t xml:space="preserve">08.06.01</t>
  </si>
  <si>
    <t xml:space="preserve">Техника и технология строительства</t>
  </si>
  <si>
    <t xml:space="preserve">08.06.01.01</t>
  </si>
  <si>
    <t xml:space="preserve">08.06.01.02</t>
  </si>
  <si>
    <t xml:space="preserve">09.06.01</t>
  </si>
  <si>
    <t xml:space="preserve">Информатика и вычислительная техника</t>
  </si>
  <si>
    <t xml:space="preserve">09.06.01.05</t>
  </si>
  <si>
    <t xml:space="preserve">12.06.01</t>
  </si>
  <si>
    <t xml:space="preserve">Фотоника, приборостроение, оптические и биотехнические системы и технологии</t>
  </si>
  <si>
    <t xml:space="preserve">12.06.01.01</t>
  </si>
  <si>
    <t xml:space="preserve">12.06.01.02</t>
  </si>
  <si>
    <t xml:space="preserve">12.06.01.03</t>
  </si>
  <si>
    <t xml:space="preserve">15.06.01</t>
  </si>
  <si>
    <t xml:space="preserve">Машиностроение</t>
  </si>
  <si>
    <t xml:space="preserve">15.06.01.02</t>
  </si>
  <si>
    <t xml:space="preserve">18.06.01</t>
  </si>
  <si>
    <t xml:space="preserve">Химическая технология</t>
  </si>
  <si>
    <t xml:space="preserve">18.06.01.03</t>
  </si>
  <si>
    <t xml:space="preserve">27.06.01</t>
  </si>
  <si>
    <t xml:space="preserve">Управление в технических системах</t>
  </si>
  <si>
    <t xml:space="preserve">27.06.01.02</t>
  </si>
  <si>
    <t xml:space="preserve">28.06.01</t>
  </si>
  <si>
    <t xml:space="preserve">28.06.01.01</t>
  </si>
  <si>
    <t xml:space="preserve">45.06.01</t>
  </si>
  <si>
    <t xml:space="preserve">Языкознание и литературоведение</t>
  </si>
  <si>
    <t xml:space="preserve">45.06.01.02</t>
  </si>
  <si>
    <t xml:space="preserve">46.06.01</t>
  </si>
  <si>
    <t xml:space="preserve">Исторические науки и археология</t>
  </si>
  <si>
    <t xml:space="preserve">46.06.01.01</t>
  </si>
  <si>
    <t xml:space="preserve">09.06.01.01</t>
  </si>
  <si>
    <t xml:space="preserve">41.06.01</t>
  </si>
  <si>
    <t xml:space="preserve">Политические науки и регионоведение</t>
  </si>
  <si>
    <t xml:space="preserve">41.06.01.01</t>
  </si>
  <si>
    <t xml:space="preserve">38.06.01</t>
  </si>
  <si>
    <t xml:space="preserve">Экономика</t>
  </si>
  <si>
    <t xml:space="preserve">38.06.01.01</t>
  </si>
  <si>
    <t xml:space="preserve">38.06.01.02</t>
  </si>
  <si>
    <t xml:space="preserve">Название предмета 1</t>
  </si>
  <si>
    <t xml:space="preserve">Оценка</t>
  </si>
  <si>
    <t xml:space="preserve">год</t>
  </si>
  <si>
    <t xml:space="preserve">Оценка и дата сдачи экзамена</t>
  </si>
  <si>
    <t xml:space="preserve">Член комиссии 1</t>
  </si>
  <si>
    <t xml:space="preserve">Член комиссии 2</t>
  </si>
  <si>
    <t xml:space="preserve">Члены комиссии: </t>
  </si>
  <si>
    <t xml:space="preserve">Название предмета 2</t>
  </si>
  <si>
    <t xml:space="preserve">Член комиссии 3</t>
  </si>
  <si>
    <t xml:space="preserve">Название предмета 3</t>
  </si>
  <si>
    <t xml:space="preserve">Отлично </t>
  </si>
  <si>
    <t xml:space="preserve">24 января</t>
  </si>
  <si>
    <t xml:space="preserve">Юдин А.И., доктор философских наук, профессор, профессор кафедры «История и философия».</t>
  </si>
  <si>
    <t xml:space="preserve">Слезин А.А., доктор исторических  наук, профессор, зав. кафедрой «История и философия»,  заместитель председателя комиссии; </t>
  </si>
  <si>
    <t xml:space="preserve">Самохин К.В., кандидат исторических наук, доцент, доцент кафедры «История и философия»</t>
  </si>
  <si>
    <t xml:space="preserve">Иностранный язык</t>
  </si>
  <si>
    <t xml:space="preserve">22 июня</t>
  </si>
  <si>
    <t xml:space="preserve">Макеева М.Н., доктор филологических наук, профессор, зав. кафедрой «Иностранный язык»</t>
  </si>
  <si>
    <t xml:space="preserve">Гунина Н.А., кандидат филологических наук, доцент, зав. кафедрой «Международная профессиональная и научная коммуникация», заместитель председателя комиссии; </t>
  </si>
  <si>
    <t xml:space="preserve">Королева Л.Ю., кандидат филологических наук, доцент, доцент кафедры «Международная профессиональная и научная коммуникация»; </t>
  </si>
  <si>
    <t xml:space="preserve">27 июня</t>
  </si>
  <si>
    <t xml:space="preserve">Рухов А.В., доктор технических наук, доцент, заведующий кафедрой «Химия и химические технологии»</t>
  </si>
  <si>
    <t xml:space="preserve">Дьячкова Т.П., доктор химических наук, доцент, доцент кафедры "Химия и химические технологии",  заместитель председателя комиссии; </t>
  </si>
  <si>
    <t xml:space="preserve">21 января</t>
  </si>
  <si>
    <t xml:space="preserve">Терехова Г.Л., кандидат философских наук, доцент, доцент кафедры «История и философия»</t>
  </si>
  <si>
    <t xml:space="preserve">20 июня</t>
  </si>
  <si>
    <t xml:space="preserve">Бородулина Н.Ю., доктор филологических наук, доцент, профессор кафедры «Иностранных языков», заместитель председателя комиссии</t>
  </si>
  <si>
    <t xml:space="preserve">Гуляева Е.А., кандидат педагогических наук, доцент, доцент кафедры «Иностранных языков»</t>
  </si>
  <si>
    <t xml:space="preserve">Червяков В.М., доктор технических наук, доцент, профессор кафедры «Техническая механика и детали машин»</t>
  </si>
  <si>
    <t xml:space="preserve">Ярцев В.П., доктор технических наук, профессор, профессор кафедры «Конструкции зданий и сооружений»</t>
  </si>
  <si>
    <t xml:space="preserve">Леденев В.В., доктор технических наук, профессор, профессор кафедры «Конструкции зданий и сооружений», заместитель председателя комиссии</t>
  </si>
  <si>
    <t xml:space="preserve">Леденев В.И., доктор технических наук, профессор, профессор кафедры «Городское строительство и автомобильные дороги»</t>
  </si>
  <si>
    <t xml:space="preserve">Монастырев П.В., доктор технических наук, доцент, директор института архитектуры, строительства и транспорта</t>
  </si>
  <si>
    <t xml:space="preserve">28 июня</t>
  </si>
  <si>
    <t xml:space="preserve">25 января</t>
  </si>
  <si>
    <t xml:space="preserve">Иванова О.Г., кандидат технических наук, доцент, профессор кафедры «Информационные системы и защита информации»</t>
  </si>
  <si>
    <t xml:space="preserve">Тютюнник В.М., доктор технических наук, профессор, профессор кафедры «Конструирование радиоэлектронных и микропроцессорных систем», заместитель председателя комиссии</t>
  </si>
  <si>
    <t xml:space="preserve">Дидрих В.Е., доктор технических наук, профессор, профессор кафедры «Информационные системы и защита информации»</t>
  </si>
  <si>
    <t xml:space="preserve">Хорошо</t>
  </si>
  <si>
    <t xml:space="preserve">21 июня</t>
  </si>
  <si>
    <t xml:space="preserve">26 января</t>
  </si>
  <si>
    <t xml:space="preserve">Григорьева В.С., кандидат филологических наук, доцент, профессор кафедры «Иностранных языков», заместитель председателя комиссии</t>
  </si>
  <si>
    <t xml:space="preserve">Чеботарева Г.Н., кандидат филологических наук, ст. преподаватель кафедры «Международная профессиональная и научная коммуникация»</t>
  </si>
  <si>
    <t xml:space="preserve">25 июня</t>
  </si>
  <si>
    <t xml:space="preserve">Дивин А.Г., доктор технических наук, доцент, зав. кафедрой «Мехатроника и технологические измерения»</t>
  </si>
  <si>
    <t xml:space="preserve">Пономарев С.В., доктор технических наук, профессор, профессор кафедры «Мехатроника и технологические измерения», заместитель председателя комиссии</t>
  </si>
  <si>
    <t xml:space="preserve">Балабанов П.В., доктор технических наук, доцент, доцент кафедры «Мехатроника и технологические измерения»</t>
  </si>
  <si>
    <t xml:space="preserve">Проскурин С.Г., доктор технических наук, доцент, доцент кафедры «Биомедицинская техника», заместитель председателя комиссии</t>
  </si>
  <si>
    <t xml:space="preserve">18 января</t>
  </si>
  <si>
    <t xml:space="preserve">Муромцев Д.Ю., доктор технических наук, профессор, проректор по научно-инновационной деятельности</t>
  </si>
  <si>
    <t xml:space="preserve">Юдин А.И., доктор философских наук, профессор, профессор кафедры «История и философия»,  заместитель председателя комиссии</t>
  </si>
  <si>
    <t xml:space="preserve">Самохин К.В., кандидат исторических наук, доцент, доцент кафедры «История и философия»
Терехова Г.Л., кандидат философских наук, доцент, доцент кафедры «История и философия»</t>
  </si>
  <si>
    <t xml:space="preserve">Селиванова З.М., доктор технических наук, профессор, профессор кафедры «Конструирование радиоэлектронных и микропроцессорных систем», заместитель председателя комиссии</t>
  </si>
  <si>
    <t xml:space="preserve">Павлов В.И., доктор технических наук, профессор, профессор кафедры «Конструирование радиоэлектронных и микропроцессорных систем»</t>
  </si>
  <si>
    <t xml:space="preserve">Соколов М.В.,  доктор технических наук, доцент, профессор кафедры «Компьютерно-интегрированные системы в машиностроении»</t>
  </si>
  <si>
    <t xml:space="preserve">26 июня</t>
  </si>
  <si>
    <t xml:space="preserve">Першин В.Ф., доктор технических наук, профессор, профессор кафедры  «Техника и технологии производства нанопродуктов», заместитель председателя комиссии</t>
  </si>
  <si>
    <t xml:space="preserve">Промтов М.А., доктор технических наук, профессор, профессор кафедры  «Технологические процессы, аппараты и техносферная безопасность»</t>
  </si>
  <si>
    <t xml:space="preserve">27 января</t>
  </si>
  <si>
    <t xml:space="preserve">Пахомов А.Н., кандидат технических наук, доцент, доцент кафедры «Технологические процессы, аппараты и техносферная безопасность»</t>
  </si>
  <si>
    <t xml:space="preserve">Гатапова Н.Ц., доктор технических наук, профессор, зав. кафедрой  «Технологические процессы, аппараты и техносферная безопасность»</t>
  </si>
  <si>
    <t xml:space="preserve">Долгунин В.Н., доктор технических наук, профессор, профессор кафедры  «Технологии и оборудование пищевых и химических производств», заместитель председателя комиссии</t>
  </si>
  <si>
    <t xml:space="preserve">Назаров В.Н., кандидат технических наук, доцент кафедры «Информационные процессы и управление»</t>
  </si>
  <si>
    <t xml:space="preserve">24 июня</t>
  </si>
  <si>
    <t xml:space="preserve">Дмитриевский Б.С., доктор технических наук, доцент, профессор кафедры  «Информационные процессы и управление», заместитель председателя комиссии</t>
  </si>
  <si>
    <t xml:space="preserve">Удовлетворительно</t>
  </si>
  <si>
    <t xml:space="preserve">Губанова Т.В., кандидат филологических наук, доцент, доцент кафедры «Русская филология», заместитель председателя комиссии</t>
  </si>
  <si>
    <t xml:space="preserve">Немцова Н.М., кандидат филологических наук, доцент, зам. декана факультета международного образования</t>
  </si>
  <si>
    <t xml:space="preserve">Промтов М.А., доктор технических наук, профессор, декан факультета международного образования</t>
  </si>
  <si>
    <t xml:space="preserve">28 января</t>
  </si>
  <si>
    <t xml:space="preserve">23 июня</t>
  </si>
  <si>
    <t xml:space="preserve">Пасько Т.В., кандидат технических наук, доцент, доцент кафедры «Техника и технологии производства нанопродуктов» </t>
  </si>
  <si>
    <t xml:space="preserve">Рухов А.В., доктор технических наук, доцент, зав. кафедрой «Химия и химические технологии», заместитель председателя комиссии</t>
  </si>
  <si>
    <t xml:space="preserve">Туголуков Е.Н., доктор технических наук, профессор, профессор кафедры  «Техника и технологии производства нанопродуктов»</t>
  </si>
  <si>
    <t xml:space="preserve">23 января</t>
  </si>
  <si>
    <t xml:space="preserve">Дворецкий С.И., доктор технических наук, профессор, научный руководитель межкафедральной научно-исследовательской лаборатории «Математическое моделирование и интегрированное проектирование систем»</t>
  </si>
  <si>
    <t xml:space="preserve">Карпушкин С.В., доктор технических наук, профессор, профессор кафедры «Компьютерно-интегрированные системы в машиностроении», заместитель председателя комиссии</t>
  </si>
  <si>
    <t xml:space="preserve">Алексеев В.В., доктор технических наук, профессор, зав. кафедрой «Информационные системы и защита информации»</t>
  </si>
  <si>
    <t xml:space="preserve">Специальность</t>
  </si>
  <si>
    <t xml:space="preserve">Специальность научных работников</t>
  </si>
  <si>
    <t xml:space="preserve">01.06.01.01</t>
  </si>
  <si>
    <t xml:space="preserve">Механика деформируемого твердого тела</t>
  </si>
  <si>
    <t xml:space="preserve">01.02.04</t>
  </si>
  <si>
    <t xml:space="preserve">Электрохимия</t>
  </si>
  <si>
    <t xml:space="preserve">02.00.05</t>
  </si>
  <si>
    <t xml:space="preserve">05.06.01.01</t>
  </si>
  <si>
    <t xml:space="preserve">Экология</t>
  </si>
  <si>
    <t xml:space="preserve">03.02.08</t>
  </si>
  <si>
    <t xml:space="preserve">Экология (по отраслям)</t>
  </si>
  <si>
    <t xml:space="preserve">Строительные конструкции, здания и сооружения</t>
  </si>
  <si>
    <t xml:space="preserve">05.23.01</t>
  </si>
  <si>
    <t xml:space="preserve">Строительные материалы и изделия</t>
  </si>
  <si>
    <t xml:space="preserve">05.23.05</t>
  </si>
  <si>
    <t xml:space="preserve">08.06.01.03</t>
  </si>
  <si>
    <t xml:space="preserve">Проектирование и строительство дорог, метрополитенов, аэродромов, мостов и транспортных тоннелей</t>
  </si>
  <si>
    <t xml:space="preserve">05.23.11</t>
  </si>
  <si>
    <t xml:space="preserve">Системный анализ, управление и обработка информации</t>
  </si>
  <si>
    <t xml:space="preserve">05.13.01</t>
  </si>
  <si>
    <t xml:space="preserve">09.06.01.02</t>
  </si>
  <si>
    <t xml:space="preserve">05.13.06</t>
  </si>
  <si>
    <t xml:space="preserve">Автоматизация и управление технологическими процессами и производствами (по отраслям)</t>
  </si>
  <si>
    <t xml:space="preserve">09.06.01.04</t>
  </si>
  <si>
    <t xml:space="preserve">Математическое моделирование, численные методы и комплексы программ</t>
  </si>
  <si>
    <t xml:space="preserve">5.13.18</t>
  </si>
  <si>
    <t xml:space="preserve">Информационные системы и процессы</t>
  </si>
  <si>
    <t xml:space="preserve">05.25.05</t>
  </si>
  <si>
    <t xml:space="preserve">10.06.01.01</t>
  </si>
  <si>
    <t xml:space="preserve">Методы и системы защиты информации, информационная безопасность</t>
  </si>
  <si>
    <t xml:space="preserve">05.13.19</t>
  </si>
  <si>
    <t xml:space="preserve">11.06.01.01</t>
  </si>
  <si>
    <t xml:space="preserve">05.12.04</t>
  </si>
  <si>
    <t xml:space="preserve">11.06.01.02</t>
  </si>
  <si>
    <t xml:space="preserve">Системы, сети и устройства телекоммуникаций</t>
  </si>
  <si>
    <t xml:space="preserve">05.12.13</t>
  </si>
  <si>
    <t xml:space="preserve">11.06.01.03</t>
  </si>
  <si>
    <t xml:space="preserve">Радиолокация и радионавигация</t>
  </si>
  <si>
    <t xml:space="preserve">05.12.14</t>
  </si>
  <si>
    <t xml:space="preserve">Приборы и системы контроля природной среды, веществ, материалов и изделий</t>
  </si>
  <si>
    <t xml:space="preserve">05.11.13</t>
  </si>
  <si>
    <t xml:space="preserve">Приборы и методы контроля природной среды, веществ, материалов и изделий</t>
  </si>
  <si>
    <t xml:space="preserve">Приборы, системы, изделия медицинского назначения</t>
  </si>
  <si>
    <t xml:space="preserve">05.11.17</t>
  </si>
  <si>
    <t xml:space="preserve">Информационно-измерительные и управляющие системы</t>
  </si>
  <si>
    <t xml:space="preserve">05.11.16</t>
  </si>
  <si>
    <t xml:space="preserve">Информационноизмерительные и управляющие системы (по отраслям)</t>
  </si>
  <si>
    <t xml:space="preserve">13.06.01.01</t>
  </si>
  <si>
    <t xml:space="preserve">Электротехнические комплексы и системы</t>
  </si>
  <si>
    <t xml:space="preserve">05.09.03</t>
  </si>
  <si>
    <t xml:space="preserve">Машины, агрегаты и процессы</t>
  </si>
  <si>
    <t xml:space="preserve">05.02.13</t>
  </si>
  <si>
    <t xml:space="preserve">Машины, агрегаты и процессы (по отраслям)</t>
  </si>
  <si>
    <t xml:space="preserve">18.06.01.01</t>
  </si>
  <si>
    <t xml:space="preserve">05.17.03</t>
  </si>
  <si>
    <t xml:space="preserve">Процессы и аппараты химической технологии</t>
  </si>
  <si>
    <t xml:space="preserve">05.17.08</t>
  </si>
  <si>
    <t xml:space="preserve">Автоматизированное управление технологическими процессами и производствами</t>
  </si>
  <si>
    <t xml:space="preserve">27.06.01.05</t>
  </si>
  <si>
    <t xml:space="preserve">05.16.08</t>
  </si>
  <si>
    <t xml:space="preserve">Нанотехнологии и наноматериалы (по отраслям)</t>
  </si>
  <si>
    <t xml:space="preserve">35.06.04.01</t>
  </si>
  <si>
    <t xml:space="preserve">Технологии и средства механизации сельского хозяйства</t>
  </si>
  <si>
    <t xml:space="preserve">05.20.01</t>
  </si>
  <si>
    <t xml:space="preserve">Экономика и управление народным хозяйством</t>
  </si>
  <si>
    <t xml:space="preserve">08.00.05</t>
  </si>
  <si>
    <t xml:space="preserve">Экономика и управление народным хозяйством (по отраслям)</t>
  </si>
  <si>
    <t xml:space="preserve">Финансы, денежное обращение и кредит</t>
  </si>
  <si>
    <t xml:space="preserve">08.00.10</t>
  </si>
  <si>
    <t xml:space="preserve">Политические институты, процессы и технологии</t>
  </si>
  <si>
    <t xml:space="preserve">23.00.02</t>
  </si>
  <si>
    <t xml:space="preserve">Теория языка</t>
  </si>
  <si>
    <t xml:space="preserve">10.02.19</t>
  </si>
  <si>
    <t xml:space="preserve">Отечественная история</t>
  </si>
  <si>
    <t xml:space="preserve">07.00.02</t>
  </si>
  <si>
    <t xml:space="preserve">января</t>
  </si>
  <si>
    <t xml:space="preserve">02</t>
  </si>
  <si>
    <t xml:space="preserve">февраля</t>
  </si>
  <si>
    <t xml:space="preserve">03</t>
  </si>
  <si>
    <t xml:space="preserve">марта</t>
  </si>
  <si>
    <t xml:space="preserve">апреля</t>
  </si>
  <si>
    <t xml:space="preserve">05</t>
  </si>
  <si>
    <t xml:space="preserve">мая</t>
  </si>
  <si>
    <t xml:space="preserve">06</t>
  </si>
  <si>
    <t xml:space="preserve">июня</t>
  </si>
  <si>
    <t xml:space="preserve">08</t>
  </si>
  <si>
    <t xml:space="preserve">09</t>
  </si>
  <si>
    <t xml:space="preserve">10</t>
  </si>
  <si>
    <t xml:space="preserve">11</t>
  </si>
  <si>
    <t xml:space="preserve">ноября</t>
  </si>
  <si>
    <t xml:space="preserve">12</t>
  </si>
  <si>
    <t xml:space="preserve">декабря</t>
  </si>
  <si>
    <t xml:space="preserve">13</t>
  </si>
  <si>
    <t xml:space="preserve">14</t>
  </si>
  <si>
    <t xml:space="preserve">15</t>
  </si>
  <si>
    <t xml:space="preserve">16</t>
  </si>
  <si>
    <t xml:space="preserve">17</t>
  </si>
  <si>
    <t xml:space="preserve">20</t>
  </si>
  <si>
    <t xml:space="preserve">22</t>
  </si>
  <si>
    <t xml:space="preserve">23</t>
  </si>
  <si>
    <t xml:space="preserve">24</t>
  </si>
  <si>
    <t xml:space="preserve">25</t>
  </si>
  <si>
    <t xml:space="preserve">28</t>
  </si>
  <si>
    <t xml:space="preserve">29</t>
  </si>
  <si>
    <t xml:space="preserve">30</t>
  </si>
  <si>
    <t xml:space="preserve">Юдин А.И., доктор философских наук, профессор, профессор кафедры «История и философия»</t>
  </si>
  <si>
    <t xml:space="preserve">Слезин А.А., доктор исторических  наук, профессор, зав. кафедрой «История и философия»,  заместитель председателя комиссии</t>
  </si>
  <si>
    <t xml:space="preserve">Самохин К.В., кандидат исторических наук, доцент, доцент кафедры «История и философия»;
Терехова Г.Л., кандидат философских наук, доцент, доцент кафедры «История и философия»</t>
  </si>
  <si>
    <t xml:space="preserve">Макеева М.Н., доктор филологических наук, профессор, зав. кафедрой «Иностранных языков»</t>
  </si>
  <si>
    <t xml:space="preserve">Гунина Н.А., кандидат филологических наук, доцент, зав. кафедрой «Международная профессиональная и научная коммуникация», заместитель председателя комиссии</t>
  </si>
  <si>
    <t xml:space="preserve">Попова И.М., доктор филологических наук, профессор, зав. кафедрой «Русская филология»</t>
  </si>
  <si>
    <t xml:space="preserve">Королева Л.Ю., кандидат филологических наук, доцент, доцент кафедры «Международная профессиональная и научная коммуникация»</t>
  </si>
  <si>
    <t xml:space="preserve">Рухов А.В., доктор технических наук, доцент, зав. кафедрой «Химия и химические технологии»</t>
  </si>
  <si>
    <t xml:space="preserve">Дьячкова Т.П., доктор химических наук, доцент, доцент кафедры «Химия и химические технологии», заместитель председателя комиссии</t>
  </si>
  <si>
    <t xml:space="preserve">ПАВЛИНОВА РОМАНА ЮРЬЕВИЧА</t>
  </si>
  <si>
    <t xml:space="preserve">«Иностранный язык» (английский)</t>
  </si>
  <si>
    <t xml:space="preserve">Состав комиссии (утверждён приказом ректора университета № 91/1-08 от  24 мая 2022 г.)</t>
  </si>
  <si>
    <t xml:space="preserve">Макеева М.Н., доктор филологических наук, профессор, профессор кафедры «Иностранные языки и профессиональная коммуникация»</t>
  </si>
  <si>
    <t xml:space="preserve">/ М.Н. Макеева /</t>
  </si>
  <si>
    <t xml:space="preserve">Гунина Н.А., кандидат филологических наук, доцент, заведующая кафедрой «Иностранные языки и профессиональная коммуникация», заместитель председателя комиссии</t>
  </si>
  <si>
    <t xml:space="preserve">/ Н.А. Гунина /</t>
  </si>
  <si>
    <t xml:space="preserve">Зарапина И.В., кандидат  химических наук, доцент, доцент кафедры «Химия и химические технологии»</t>
  </si>
  <si>
    <t xml:space="preserve">Павлинов Роман Юрьевич</t>
  </si>
  <si>
    <t xml:space="preserve">1.4.6. Электрохимия, технические науки</t>
  </si>
  <si>
    <t xml:space="preserve">АЗАУИ ДУБЛА БАЛЬТАЗАР</t>
  </si>
  <si>
    <t xml:space="preserve">/ П.В. Монастырев /</t>
  </si>
  <si>
    <t xml:space="preserve">Азауи Дубла Бальтазар</t>
  </si>
  <si>
    <t xml:space="preserve">2.1.1. Строительные конструкции, здания и сооружения, технические науки</t>
  </si>
  <si>
    <t xml:space="preserve">АУАД МАРИНУ САМИ</t>
  </si>
  <si>
    <t xml:space="preserve">Ауад Марина Сами</t>
  </si>
  <si>
    <t xml:space="preserve">БИН АЛЬШК АМАР МАДЖЕД АБДУЛЛА САИД</t>
  </si>
  <si>
    <t xml:space="preserve">Бин Альшк Амар Маджед Абдулла Саид</t>
  </si>
  <si>
    <t xml:space="preserve">ГОРОХОВА ТИМОФЕЯ ИВАНОВИЧА</t>
  </si>
  <si>
    <t xml:space="preserve">Горохов Тимофей Иванович</t>
  </si>
  <si>
    <t xml:space="preserve">2.1.5. Строительные материалы и изделия, технические науки</t>
  </si>
  <si>
    <t xml:space="preserve">ДАНИЛОВА ВЛАДИСЛАВА МИХАЙЛОВИЧА</t>
  </si>
  <si>
    <t xml:space="preserve">Данилов Владислав Михайлович</t>
  </si>
  <si>
    <t xml:space="preserve">ХАМУД АБДУЛСАЛАМ АРЕФ АБДУЛАЗИЗ</t>
  </si>
  <si>
    <t xml:space="preserve">Хамуд Абдулсалам Ареф Абдулазиз</t>
  </si>
  <si>
    <t xml:space="preserve">ОБУХОВА ИВАНА АНДРЕЕВИЧА</t>
  </si>
  <si>
    <t xml:space="preserve">Обухов Иван Андреевич</t>
  </si>
  <si>
    <t xml:space="preserve">2.1.8. Проектирование и строительство дорог, метрополитенов, аэродромов, мостов и транспортных тоннелей, технические науки</t>
  </si>
  <si>
    <t xml:space="preserve">АЛЬ-РАММАХИ АЛИ АБИДАЛКАРИМ ХАБИБ</t>
  </si>
  <si>
    <t xml:space="preserve">Карпов С.В., кандидат технических наук, доцент, доцент кафедры «Компьютерно-интегрированные системы в машиностроении»</t>
  </si>
  <si>
    <t xml:space="preserve">/ С.В. Карпов /</t>
  </si>
  <si>
    <t xml:space="preserve">2.3.1. Системный анализ, управление и обработка информации, технические науки</t>
  </si>
  <si>
    <t xml:space="preserve">МАТРОХИНА МИХАИЛА АЛЕКСАНДРОВИЧА</t>
  </si>
  <si>
    <t xml:space="preserve">Матрохин Михаил Александрович</t>
  </si>
  <si>
    <t xml:space="preserve">РАЧКОВУ СВЕТЛАНУ АНАТОЛЬЕВНУ</t>
  </si>
  <si>
    <t xml:space="preserve">Рачкова Светлана Анатольевна</t>
  </si>
  <si>
    <t xml:space="preserve">САННИКОВА СЕРГЕЯ АНАТОЛЬЕВИЧА</t>
  </si>
  <si>
    <t xml:space="preserve">Санников Сергей Анатольевич</t>
  </si>
  <si>
    <t xml:space="preserve">САРИ ФАРАХ АББАС ОБАИД </t>
  </si>
  <si>
    <t xml:space="preserve">ОБАИД СААДУЛДИН САДАХ ОБАИД</t>
  </si>
  <si>
    <t xml:space="preserve">Обаид Саадулдин Садах Обаид</t>
  </si>
  <si>
    <t xml:space="preserve">2.3.3. Автоматизация и управление технологическими процессами и производствами, технические науки</t>
  </si>
  <si>
    <t xml:space="preserve">АЛЬ-ХАМАМИ ОМАР ХАШИМ  ЯХЬЯ</t>
  </si>
  <si>
    <t xml:space="preserve">Аль-Хамами Омар Хашим Яхья</t>
  </si>
  <si>
    <t xml:space="preserve">ОВАИДИ МОХАММЕД РАЗЗАК МУГИР</t>
  </si>
  <si>
    <t xml:space="preserve">Оваиди Мохаммед Раззак Мугир</t>
  </si>
  <si>
    <t xml:space="preserve">2.3.8. Информатика и информационные процессы, технические науки</t>
  </si>
  <si>
    <t xml:space="preserve">ШАМСУЛДИН ХАЙДАР АБДУЛВАХАБ ХАБИБ</t>
  </si>
  <si>
    <t xml:space="preserve">Шамсулдин Хайдар Абдулвахаб Хабиб</t>
  </si>
  <si>
    <t xml:space="preserve">БЕЛЕВИТИНА ВИКТОРА АНДРЕЕВИЧА</t>
  </si>
  <si>
    <t xml:space="preserve">/ В.Е. Дидрих /</t>
  </si>
  <si>
    <t xml:space="preserve">Белевитин Виктор Андреевич</t>
  </si>
  <si>
    <t xml:space="preserve">2.3.6. Методы и системы защиты информации, информационная безопасность, технические науки</t>
  </si>
  <si>
    <t xml:space="preserve">МИНАЕВУ АНАСТАСИЮ НИКОЛАЕВНУ</t>
  </si>
  <si>
    <t xml:space="preserve">Минаева Анастасия Николаевна</t>
  </si>
  <si>
    <t xml:space="preserve">ЕРЁМИНА ВАДИМА ВИТАЛЬЕВИЧА</t>
  </si>
  <si>
    <t xml:space="preserve">Ерёмин Вадим Витальевич</t>
  </si>
  <si>
    <t xml:space="preserve">2.2.13. Радиотехника, в том числе системы и устройства телевидения, технические науки</t>
  </si>
  <si>
    <t xml:space="preserve">ЛЕЖНЕВУ НАТАЛИЮ АЛЕКСАНДРОВНУ</t>
  </si>
  <si>
    <t xml:space="preserve">Лежнева Наталия Александровна</t>
  </si>
  <si>
    <t xml:space="preserve">АЛБАХРИ МОХАММЕД</t>
  </si>
  <si>
    <t xml:space="preserve">Албахри Мохаммед</t>
  </si>
  <si>
    <t xml:space="preserve">2.2.15. Системы, сети и устройства телекоммуникаций, технические науки</t>
  </si>
  <si>
    <t xml:space="preserve">ДМИТРИЕВЦЕВА АНДРЕЯ ЮРЬЕВИЧА</t>
  </si>
  <si>
    <t xml:space="preserve">Дмитриевцев Андрей Юрьевич</t>
  </si>
  <si>
    <t xml:space="preserve">ЮДАЕВА ВИКТОРА АЛЕКСЕЕВИЧА</t>
  </si>
  <si>
    <t xml:space="preserve">Юдаев Виктор Алексеевич</t>
  </si>
  <si>
    <t xml:space="preserve">2.2.8. Методы и приборы контроля и диагностики материалов, изделий, веществ и природной среды, технические науки</t>
  </si>
  <si>
    <t xml:space="preserve">МЕДВЕДЕВУ АННУ ВЛАДИМИРОВНУ</t>
  </si>
  <si>
    <t xml:space="preserve">Медведева Анна Владимировна</t>
  </si>
  <si>
    <t xml:space="preserve">2.2.12. Приборы, системы и изделия медицинского назначения, технические науки</t>
  </si>
  <si>
    <t xml:space="preserve">НЕЧАЯ АНДРЕЯ АНДРЕЕВИЧА</t>
  </si>
  <si>
    <t xml:space="preserve">Нечай Андрей Андреевич</t>
  </si>
  <si>
    <t xml:space="preserve">СКОМОРОХОВА КИРИЛЛА ВИКТОРОВИЧА</t>
  </si>
  <si>
    <t xml:space="preserve">Скоморохов Кирилл Викторович</t>
  </si>
  <si>
    <t xml:space="preserve">2.2.11. Информационно-измерительные и управляющие системы, технические науки</t>
  </si>
  <si>
    <t xml:space="preserve">ТИТОВУ ПОЛИНУ АЛЕКСАНДРОВНУ</t>
  </si>
  <si>
    <t xml:space="preserve">Титова Полина Александровна</t>
  </si>
  <si>
    <t xml:space="preserve">ЧЕРКАШНЕВА ДАНИЛА АЛЕКСЕЕВИЧА</t>
  </si>
  <si>
    <t xml:space="preserve">Кобелев А.В., кандидат технических наук, доцент, заведующий кафедрой «Электроэнергетика»</t>
  </si>
  <si>
    <t xml:space="preserve">/ А.В. Кобелев /</t>
  </si>
  <si>
    <t xml:space="preserve">Черкашнев Данил Алексеевич</t>
  </si>
  <si>
    <t xml:space="preserve">2.4.2. Электротехнические комплексы и системы, технические науки</t>
  </si>
  <si>
    <t xml:space="preserve">АЛЬГУРАБИ АВЖ АХМЕД МАХМУД</t>
  </si>
  <si>
    <t xml:space="preserve">Соколов М.В., доктор технических наук, доцент, профессор кафедры «Компьютерно-интегрированные системы в машиностроении»</t>
  </si>
  <si>
    <t xml:space="preserve">/ М.В. Соколов /</t>
  </si>
  <si>
    <t xml:space="preserve">Альгураби Авж Ахмед Махмуд</t>
  </si>
  <si>
    <t xml:space="preserve">2.5.21. Машины, агрегаты и технологические процессы, технические науки</t>
  </si>
  <si>
    <t xml:space="preserve">КОВАЛЕВА РОМАНА РОМАНОВИЧА</t>
  </si>
  <si>
    <t xml:space="preserve">Ковалев Роман Романович</t>
  </si>
  <si>
    <t xml:space="preserve">КОЛОМОЙЦА АЛЕКСЕЯ АЛЕКСАНДРОВИЧА</t>
  </si>
  <si>
    <t xml:space="preserve">Коломоец Алексей Александрович</t>
  </si>
  <si>
    <t xml:space="preserve">ЧУМИКОВА ЮРИЯ АНАТОЛЬЕВИЧА</t>
  </si>
  <si>
    <t xml:space="preserve">Чумиков Юрий Анатольевич</t>
  </si>
  <si>
    <t xml:space="preserve">ХРОМОВУ ТАТЬЯНУ АЛЕКСАНДРОВНУ</t>
  </si>
  <si>
    <t xml:space="preserve">Хромова Татьяна Александровна</t>
  </si>
  <si>
    <t xml:space="preserve">2.6.9. Технология электрохимических процессов и защита от коррозии, технические науки</t>
  </si>
  <si>
    <t xml:space="preserve">ЖАБКИНУ ИННУ АЛЕКСАНДРОВНУ</t>
  </si>
  <si>
    <t xml:space="preserve">Жабкина Инна Александровна</t>
  </si>
  <si>
    <t xml:space="preserve">2.6.13. Процессы и аппараты химических технологий, технические науки</t>
  </si>
  <si>
    <t xml:space="preserve">ЗУЕВУ ДАРЬЮ МИХАЙЛОВНУ</t>
  </si>
  <si>
    <t xml:space="preserve">Зуева Дарья Михайловна</t>
  </si>
  <si>
    <t xml:space="preserve">МЕРОНЮКА КИРИЛЛА ИВАНОВИЧА</t>
  </si>
  <si>
    <t xml:space="preserve">Меронюк Кирилл Иванович</t>
  </si>
  <si>
    <t xml:space="preserve">ТРИШИНУ АЛЕКСАНДРУ ВИКТОРОВНУ</t>
  </si>
  <si>
    <t xml:space="preserve">Тришина Александра Викторовна</t>
  </si>
  <si>
    <t xml:space="preserve">ЧЕРНИКОВУ ОЛЬГУ ВЯЧЕСЛАВОВНУ</t>
  </si>
  <si>
    <t xml:space="preserve">Черникова Ольга Вячеславовна</t>
  </si>
  <si>
    <t xml:space="preserve">ПРАВИН ПРАВИН КУМАР</t>
  </si>
  <si>
    <t xml:space="preserve">Правин Правин Кумар</t>
  </si>
  <si>
    <t xml:space="preserve">РОМАНОВУ ЕЛЕНУ СЕРГЕЕВНУ</t>
  </si>
  <si>
    <t xml:space="preserve">Романова Елена Сергеевна</t>
  </si>
  <si>
    <t xml:space="preserve">ГРАЧЕВА АЛЕКСАНДРА СЕРГЕЕВИЧА</t>
  </si>
  <si>
    <t xml:space="preserve">Грачев Александр Сергеевич</t>
  </si>
  <si>
    <t xml:space="preserve">КАДУМ АЛИ ХУССЕЙН КАДУМ</t>
  </si>
  <si>
    <t xml:space="preserve">Пасько Т.В., кандидат технических наук, доцент, доцент кафедры «Техника и технологии производства нанопродуктов»</t>
  </si>
  <si>
    <t xml:space="preserve">/ Т.В. Пасько /</t>
  </si>
  <si>
    <t xml:space="preserve">Кадум Али Хуссейн Кадум</t>
  </si>
  <si>
    <t xml:space="preserve">2.6.6. Нанотехнологии и наноматериалы, технические науки</t>
  </si>
  <si>
    <t xml:space="preserve">ПАСЬКО АНАСТАСИЮ АЛЕКСАНДРОВНУ</t>
  </si>
  <si>
    <t xml:space="preserve">Пасько Анастасия Александровна</t>
  </si>
  <si>
    <t xml:space="preserve">ЯЩИШИНА НИКОЛАЯ ЮРЬЕВИЧА</t>
  </si>
  <si>
    <t xml:space="preserve">Ящишин Николай Юрьевич</t>
  </si>
  <si>
    <t xml:space="preserve">БУРНОГО СЕРГЕЯ ДМИТРИЕВИЧА</t>
  </si>
  <si>
    <t xml:space="preserve">Бурный Сергей Дмитриевич</t>
  </si>
  <si>
    <t xml:space="preserve">4.3.1. Технологии, машины и оборудование для агропромышленного комплекса, технические науки</t>
  </si>
  <si>
    <t xml:space="preserve">ВЫГУЗОВА МАКСИМА ЕВГЕНЬЕВИЧА</t>
  </si>
  <si>
    <t xml:space="preserve">Выгузов Максим Евгеньевич</t>
  </si>
  <si>
    <t xml:space="preserve">НАБОКОВА РОМАНА ВИКТОРОВИЧА</t>
  </si>
  <si>
    <t xml:space="preserve">Санжаревский И.И., доктор политических наук, профессор, профессор кафедры «Теория и история государства и права»</t>
  </si>
  <si>
    <t xml:space="preserve">/ И.И. Санжаревский /</t>
  </si>
  <si>
    <t xml:space="preserve">Набоков Роман Викторович</t>
  </si>
  <si>
    <t xml:space="preserve">5.5.2. Политические институты, процессы, технологии, политические науки</t>
  </si>
  <si>
    <t xml:space="preserve">КОЖУХОВА НИКИТУ АЛЕКСЕЕВИЧА</t>
  </si>
  <si>
    <t xml:space="preserve">/ К.В. Самохин /</t>
  </si>
  <si>
    <t xml:space="preserve">Кожухов Никита Алексеевич</t>
  </si>
  <si>
    <t xml:space="preserve">5.6.1. Отечественная история, исторические науки</t>
  </si>
  <si>
    <t xml:space="preserve">АЛЬ-АМЕРИ САДЖА НАФЕА МОХСИН</t>
  </si>
  <si>
    <t xml:space="preserve">Рухов А.В., доктор технических наук, профессор, заведующий кафедрой «Химия и химические технологии»</t>
  </si>
  <si>
    <t xml:space="preserve">/ А.В. Рухов /</t>
  </si>
  <si>
    <t xml:space="preserve">Дьячкова Т.П., доктор химических наук, профессор, профессор кафедры «техника и технология производства нанопродуктов», заместитель председателя комиссии</t>
  </si>
  <si>
    <t xml:space="preserve">/ Т.П. Дьячкова /</t>
  </si>
  <si>
    <t xml:space="preserve">Зарапина И.В., кандидат химических наук, доцент, доцент кафедры «Химия и  химические технологии»</t>
  </si>
  <si>
    <t xml:space="preserve">РУХОВА АНТОНА ВИКТОРОВИЧА</t>
  </si>
  <si>
    <t xml:space="preserve">КЕЙТА ЯЯ</t>
  </si>
  <si>
    <t xml:space="preserve">Монастырев П.В., доктор технических наук, доцент, директор института  архитектуры, строительства  и транспорта</t>
  </si>
  <si>
    <t xml:space="preserve">Леденев В.В., доктор технических наук, профессор, профессор кафедры «Конструкции зданий и сооружений» заместитель председателя комиссии</t>
  </si>
  <si>
    <t xml:space="preserve">/ В.В. Леденев /</t>
  </si>
  <si>
    <t xml:space="preserve">Умнова О.В., кандидат технических наук, доцент, заведующая кафедрой «Конструкции зданий и сооружений»</t>
  </si>
  <si>
    <t xml:space="preserve">/ О.В. Умнова /</t>
  </si>
  <si>
    <t xml:space="preserve">ХАЙДАР ФАРИС</t>
  </si>
  <si>
    <t xml:space="preserve">КУЗНЕЦОВА ВЛАДИСЛАВА АНДРЕЕВИЧА</t>
  </si>
  <si>
    <t xml:space="preserve">/ В.П. Ярцев /</t>
  </si>
  <si>
    <t xml:space="preserve">Ерофеев А.В., кандидат технических наук, доцент, доцент кафедры «Конструкции зданий и сооружений» заместитель председателя комиссии</t>
  </si>
  <si>
    <t xml:space="preserve">/ А.В. Ерофеев /</t>
  </si>
  <si>
    <t xml:space="preserve">Киселева О.А., кандидат технических наук, доцент, доцент кафедры «Конструкции зданий и сооружений»</t>
  </si>
  <si>
    <t xml:space="preserve">/ О.А. Киселева /</t>
  </si>
  <si>
    <t xml:space="preserve">СЕЛЕЗНЕВА АРТЕМА ДЕНИСОВИЧА</t>
  </si>
  <si>
    <t xml:space="preserve">МАРТЬЯНОВА ЕВГЕНИЯ ИГОРЕВИЧА</t>
  </si>
  <si>
    <t xml:space="preserve">Алексеев В.В., доктор технических наук, профессор, заведующий кафедрой «Информационные системы и защита информации»</t>
  </si>
  <si>
    <t xml:space="preserve">/ В.В. Алексеев /</t>
  </si>
  <si>
    <t xml:space="preserve">Мокрозуб В.Г. , доктор технических наук, профессор, зав. кафедрой «Компьютерно-интегрированные системы в машиностроении», заместитель председателя комиссии</t>
  </si>
  <si>
    <t xml:space="preserve">/ В.Г. Мокрозуб /</t>
  </si>
  <si>
    <t xml:space="preserve">Егоров С.Я., доктор технических наук, доцент, профессор кафедры «Компьютерно-интегрированные системы в машиностроении»</t>
  </si>
  <si>
    <t xml:space="preserve">/ В.Я. Егоров /</t>
  </si>
  <si>
    <t xml:space="preserve">АЛЕЙНИКОВУ КРИСТИНУ АНДРЕЕВНУ</t>
  </si>
  <si>
    <t xml:space="preserve">Алейникова Кристина Андреевна</t>
  </si>
  <si>
    <t xml:space="preserve">ЭЛЬ ЭИССАВИ БАДР ХАЛИЛ МАХМУД</t>
  </si>
  <si>
    <t xml:space="preserve">ДЕЯБ АЛИ АБДУЛСАХИБ ДЕЯБ</t>
  </si>
  <si>
    <t xml:space="preserve">АЛЬ КНФЕР САМЕР НАХИ АЛЬВАН</t>
  </si>
  <si>
    <t xml:space="preserve">Матвейкин В.Г., доктор технических наук, профессор, заведующий кафедрой «Информационные процессы и управление»</t>
  </si>
  <si>
    <t xml:space="preserve">Дмитриевский Б.С., доктор технических наук,  профессор, профессор кафедры «Информационные процессы и управление», заместитель председателя комиссии</t>
  </si>
  <si>
    <t xml:space="preserve">НСЕНО-ПЕМБИ ДОН-ЮНИ</t>
  </si>
  <si>
    <t xml:space="preserve">БАННИКОВА АНДРЕЯ АЛЕКСЕЕВИЧА</t>
  </si>
  <si>
    <t xml:space="preserve">ПЕРСИДСКОГО АЛЕКСАНДРА ВЛАДИМИРОВИЧА</t>
  </si>
  <si>
    <t xml:space="preserve">Персидский Александр Владимирович</t>
  </si>
  <si>
    <t xml:space="preserve">ВАСИЛЕВСКОГО КОНСТАНТИНА СЕРГЕЕВИЧА</t>
  </si>
  <si>
    <t xml:space="preserve">ПЧЕЛИНЦЕВУ ИРИНУ ЮРЬЕВНУ</t>
  </si>
  <si>
    <t xml:space="preserve">Литовка Ю.В., доктор технических наук, профессор, профессор кафедры «Системы автоматизированной поддержки принятия решений»</t>
  </si>
  <si>
    <t xml:space="preserve">/ Ю.В. Литовка /</t>
  </si>
  <si>
    <t xml:space="preserve">/ С.В. Карпушкин /</t>
  </si>
  <si>
    <t xml:space="preserve">Туголуков Евгений Николаевич, доктор технических наук, профессор, профессор кафедры «Техника и технологии производства нанопродуктов»</t>
  </si>
  <si>
    <t xml:space="preserve">1.2.2. Математическое моделирование, численные методы и комплексы программ, технические науки</t>
  </si>
  <si>
    <t xml:space="preserve">АБД АЛХАДИ ХЕДР</t>
  </si>
  <si>
    <t xml:space="preserve">Алексеев В.В., доктор технических наук, профессор, заведующий кафедрой «Информационные системы и защита информации» заместитель председателя комиссии</t>
  </si>
  <si>
    <t xml:space="preserve">АЛЬ КАРКХИ МУСТАФА МОХАММЕД САКРАН</t>
  </si>
  <si>
    <t xml:space="preserve">НЕПРОКИНА АЛЕКСЕЯ ВЛАДИМИРОВИЧА</t>
  </si>
  <si>
    <t xml:space="preserve">СУСТИНА АЛЕКСАНДРА ИВАНОВИЧА</t>
  </si>
  <si>
    <t xml:space="preserve">Пудовкин А.П., доктор технических наук, профессор, заведующий кафедрой «Радиотехника»</t>
  </si>
  <si>
    <t xml:space="preserve">Данилов С.Н., доктор технических наук, профессор, профессор кафедры «Радиотехника», заместитель председателя комиссии</t>
  </si>
  <si>
    <t xml:space="preserve">Панасюк Ю.Н., к.т.н., доцент, доцент кафедры «Радиотехника»</t>
  </si>
  <si>
    <t xml:space="preserve">/ Ю.Н. Панасюк /</t>
  </si>
  <si>
    <t xml:space="preserve">ЛОСКУТОВУ АННУ ДАВИДОВНУ</t>
  </si>
  <si>
    <t xml:space="preserve">Балабанов П.В., доктор технических наук, доцент, заведующий кафедрой «Мехатроника и технологические измерения»</t>
  </si>
  <si>
    <t xml:space="preserve">Дивин А.Г., доктор технических наук, доцент, профессор кафедры «Мехатроника и технологические измерения», заместитель председателя комиссии</t>
  </si>
  <si>
    <t xml:space="preserve">НЕБЫВАЕВА АРТЕМИЯ ВЯЧЕСЛАВОВИЧА</t>
  </si>
  <si>
    <t xml:space="preserve">КУЛИКОВА РОМАНА АНДРЕЕВИЧА</t>
  </si>
  <si>
    <t xml:space="preserve">Фролов С.В., доктор технических наук, профессор, заведующий кафедрой «Биомедицинская техника»</t>
  </si>
  <si>
    <t xml:space="preserve">Проскурин С.Г., доктор технических наук, доцент, профессор кафедры «Биомедицинская техника», заместитель председателя комиссии</t>
  </si>
  <si>
    <t xml:space="preserve">Дубровин В.В., кандидат технических наук, доцент, доцент  кафедры «Биомедицинская техника»</t>
  </si>
  <si>
    <t xml:space="preserve">БОНДАРЕНКО ДМИТРИЯ АНДРЕЕВИЧА</t>
  </si>
  <si>
    <t xml:space="preserve">Муромцев Д.Ю., доктор технических наук, профессор, проректор по  научной работе</t>
  </si>
  <si>
    <t xml:space="preserve">/ Д.Ю. Муромцев /</t>
  </si>
  <si>
    <t xml:space="preserve">/ З.М. Селиванова /</t>
  </si>
  <si>
    <t xml:space="preserve">/ В.И. Павлов /</t>
  </si>
  <si>
    <t xml:space="preserve">Бондаренко Дмитрий Андреевич</t>
  </si>
  <si>
    <t xml:space="preserve">СКОПИНОВУ АНАСТАСИЮ ВЛАДИМИРОВНУ</t>
  </si>
  <si>
    <t xml:space="preserve">Скопинова Анастасия Владимировна</t>
  </si>
  <si>
    <t xml:space="preserve">ФИЛИППОВА ДАНИЛА ВЛАДИМИРОВИЧА</t>
  </si>
  <si>
    <t xml:space="preserve">Филиппов Данил  Владимирович</t>
  </si>
  <si>
    <t xml:space="preserve">БЕЛАРУССИ УССАМА</t>
  </si>
  <si>
    <t xml:space="preserve">Калинин В.Ф., доктор технических наук, профессор, профессор кафедры «Электроэнергетика»</t>
  </si>
  <si>
    <t xml:space="preserve">/ В.Ф. Калинин /</t>
  </si>
  <si>
    <t xml:space="preserve">Кобелев А.В., кандидат технических наук, доцент, заведующий кафедрой «Электроэнергетика», заместитель председателя комиссии</t>
  </si>
  <si>
    <t xml:space="preserve">Иванов В.М., кандидат физико-математических, профессор, профессор кафедры «Электроэнергетика»</t>
  </si>
  <si>
    <t xml:space="preserve">/ В.М. Иванов /</t>
  </si>
  <si>
    <t xml:space="preserve">ЗАЙЦЕВА ИГОРЯ АНАТОЛЬЕВИЧА</t>
  </si>
  <si>
    <t xml:space="preserve">Ткачев А.Г., доктор технических наук, профессор, заведующий кафедрой «Техника и технологии производства нанопродуктов»</t>
  </si>
  <si>
    <t xml:space="preserve">Першин В.Ф., доктор технических наук, профессор, профессор  кафедры «Техника и технологии производства нанопродуктов», заместитель председателя комиссии</t>
  </si>
  <si>
    <t xml:space="preserve">/ В.Ф. Першин /</t>
  </si>
  <si>
    <t xml:space="preserve">Промтов М.А., доктор технических наук, профессор, профессор кафедры «Технологические процессы, аппараты и техносферная безопасность»</t>
  </si>
  <si>
    <t xml:space="preserve">/ М.А. Промтов /</t>
  </si>
  <si>
    <t xml:space="preserve">КУРНОСОВА ДМИТРИЯ АЛЕКСАНДРОВИЧА</t>
  </si>
  <si>
    <t xml:space="preserve">МАНСУР ВАСЕМ</t>
  </si>
  <si>
    <t xml:space="preserve">БАИТИ АДЕЛЬ</t>
  </si>
  <si>
    <t xml:space="preserve">КОТЕНЕВА СЕРГЕЯ ИГОРЕВИЧА</t>
  </si>
  <si>
    <t xml:space="preserve">Лазарев С.И., доктор технических наук, профессор, директор   научно-                                                   образовательного центра в области безотходных и малоотходных технологий</t>
  </si>
  <si>
    <t xml:space="preserve">Абоносимов О.А.,  доктор  технических наук, доцент, научный сотрудник научно-образовательного центра в области безотходных и малоотходных технологий, заместитель председателя комиссии</t>
  </si>
  <si>
    <t xml:space="preserve">ЛАЗАРЕВА ДМИТРИЯ СЕРГЕЕВИЧА</t>
  </si>
  <si>
    <t xml:space="preserve">ЛУА ПЕПЕ</t>
  </si>
  <si>
    <t xml:space="preserve">ЕСЬКОВА ВЛАДИМИРА АЛЕКСАНДРОВИЧА</t>
  </si>
  <si>
    <t xml:space="preserve">Гатапова Н.Ц., доктор технических наук, профессор, заведующая кафедрой «Технологические процессы, аппараты и техносферная безопасность»</t>
  </si>
  <si>
    <t xml:space="preserve">Туголуков Е.Н., доктор технических наук, профессор, профессор  кафедры «Техника и технологии производства нанопродуктов», заместитель председателя комиссии</t>
  </si>
  <si>
    <t xml:space="preserve">МКРТЧЯН ЭЛИНУ СААКОВНУ</t>
  </si>
  <si>
    <t xml:space="preserve">УСТИНСКУЮ ЯНУ ВИТАЛЬЕВНУ</t>
  </si>
  <si>
    <t xml:space="preserve">КОХ-ТАТАРЕНКО ВАДИМА СТАНИСЛАВОВИЧА</t>
  </si>
  <si>
    <t xml:space="preserve">АЛЬ-БАИРМАНИ АЛИ ТАИР РАХИМ</t>
  </si>
  <si>
    <t xml:space="preserve">Рухов А.В., доктор технических наук, доцент, заведующий кафедрой «Химия и химические технологии», заместитель председателя комиссии</t>
  </si>
  <si>
    <t xml:space="preserve">Бураков А.Е., кандидат технических наук, доцент, доцент  кафедры «Техника и технологии производства нанопродуктов»</t>
  </si>
  <si>
    <t xml:space="preserve">/ А.Е. Бураков /</t>
  </si>
  <si>
    <t xml:space="preserve">АЛЬ-ХАЛИДИ МУСТАФА ТАМЕР АЛИ</t>
  </si>
  <si>
    <t xml:space="preserve">ЭЗЗЕДДИН БАХАА</t>
  </si>
  <si>
    <t xml:space="preserve">ХАНА ЮЛИАНА АЛЕКСАНДРОВИЧА</t>
  </si>
  <si>
    <t xml:space="preserve">ЧАПАКСОВА НИКОЛАЯ АНДРЕЕВИЧА</t>
  </si>
  <si>
    <t xml:space="preserve">КАЛАШНИКОВА ПАВЛА ОЛЕГОВИЧА</t>
  </si>
  <si>
    <t xml:space="preserve">Злобина Н.В., доктор экономических наук, профессор, профессор кафедры «Экономическая безопасность и качество»</t>
  </si>
  <si>
    <t xml:space="preserve">/ Н.В. Злобина /</t>
  </si>
  <si>
    <t xml:space="preserve">Меньщикова В.И., кандидат экономических наук, доцент, заведующая кафедрой «Экономика», заместитель председателя комиссии</t>
  </si>
  <si>
    <t xml:space="preserve">/ В.И. Меньщикова /</t>
  </si>
  <si>
    <t xml:space="preserve">Жариков Р.В., доктор экономических наук, доцент, профессор кафедры «Экономическая безопасность и качество»</t>
  </si>
  <si>
    <t xml:space="preserve">/ Р.В. Жариков /</t>
  </si>
  <si>
    <t xml:space="preserve">5.2.3. Региональная и отраслевая экономика, экономические науки</t>
  </si>
  <si>
    <t xml:space="preserve">ШУСТОВУ ВЕРУ НИКОЛАЕВНУ</t>
  </si>
  <si>
    <t xml:space="preserve">Куликов Н.И., доктор экономических наук, профессор, профессор кафедры «Экономика»</t>
  </si>
  <si>
    <t xml:space="preserve">/ Н.И. Куликов /</t>
  </si>
  <si>
    <t xml:space="preserve">Куликова М.А., кандидат экономических наук, доцент, доцент кафедры «Экономика»</t>
  </si>
  <si>
    <t xml:space="preserve">/ М.А. Куликова /</t>
  </si>
  <si>
    <t xml:space="preserve">8.00.10. Финансы, денежное обращение и кредит, экономические науки</t>
  </si>
  <si>
    <t xml:space="preserve">ПОДЛЕСНОВА ВЛАДИМИРА ИЛЬИЧА</t>
  </si>
  <si>
    <t xml:space="preserve">Слезин А.А., доктор исторических наук, профессор, зав. кафедрой «История и философия»</t>
  </si>
  <si>
    <t xml:space="preserve">/ А.А. Слезин /</t>
  </si>
  <si>
    <t xml:space="preserve">Безгин В.Б., доктор исторических наук, профессор, профессор кафедры «История и философия», заместитель председателя комиссии</t>
  </si>
  <si>
    <t xml:space="preserve">/ В.Б. Безгин /</t>
  </si>
  <si>
    <t xml:space="preserve">Самохин К.В., кандидат исторических наук,  доцент, доцент кафедры «История и философия»</t>
  </si>
</sst>
</file>

<file path=xl/styles.xml><?xml version="1.0" encoding="utf-8"?>
<styleSheet xmlns="http://schemas.openxmlformats.org/spreadsheetml/2006/main">
  <numFmts count="3">
    <numFmt numFmtId="164" formatCode="General"/>
    <numFmt numFmtId="165" formatCode="@"/>
    <numFmt numFmtId="166" formatCode="General"/>
  </numFmts>
  <fonts count="31">
    <font>
      <sz val="11"/>
      <color rgb="FF000000"/>
      <name val="Calibri"/>
      <family val="2"/>
      <charset val="204"/>
    </font>
    <font>
      <sz val="10"/>
      <name val="Arial"/>
      <family val="0"/>
      <charset val="204"/>
    </font>
    <font>
      <sz val="10"/>
      <name val="Arial"/>
      <family val="0"/>
      <charset val="204"/>
    </font>
    <font>
      <sz val="10"/>
      <name val="Arial"/>
      <family val="0"/>
      <charset val="204"/>
    </font>
    <font>
      <sz val="10"/>
      <color rgb="FF000000"/>
      <name val="Times New Roman"/>
      <family val="1"/>
      <charset val="204"/>
    </font>
    <font>
      <sz val="10"/>
      <name val="Arial Cyr"/>
      <family val="0"/>
      <charset val="204"/>
    </font>
    <font>
      <sz val="12"/>
      <color rgb="FF000000"/>
      <name val="Times New Roman"/>
      <family val="1"/>
      <charset val="204"/>
    </font>
    <font>
      <sz val="14"/>
      <color rgb="FF000000"/>
      <name val="Times New Roman"/>
      <family val="1"/>
      <charset val="204"/>
    </font>
    <font>
      <sz val="11"/>
      <color rgb="FF000000"/>
      <name val="Times New Roman"/>
      <family val="1"/>
      <charset val="204"/>
    </font>
    <font>
      <u val="single"/>
      <sz val="12"/>
      <color rgb="FF000000"/>
      <name val="Times New Roman"/>
      <family val="1"/>
      <charset val="204"/>
    </font>
    <font>
      <b val="true"/>
      <sz val="14"/>
      <color rgb="FF000000"/>
      <name val="Times New Roman"/>
      <family val="1"/>
      <charset val="204"/>
    </font>
    <font>
      <u val="single"/>
      <sz val="14"/>
      <color rgb="FF000000"/>
      <name val="Times New Roman"/>
      <family val="1"/>
      <charset val="204"/>
    </font>
    <font>
      <b val="true"/>
      <sz val="14"/>
      <color rgb="FFFFFFFF"/>
      <name val="Times New Roman"/>
      <family val="1"/>
      <charset val="204"/>
    </font>
    <font>
      <b val="true"/>
      <sz val="12"/>
      <color rgb="FF000000"/>
      <name val="Times New Roman"/>
      <family val="1"/>
      <charset val="204"/>
    </font>
    <font>
      <sz val="12"/>
      <name val="Times New Roman"/>
      <family val="1"/>
      <charset val="204"/>
    </font>
    <font>
      <i val="true"/>
      <sz val="12"/>
      <color rgb="FF000000"/>
      <name val="Times New Roman"/>
      <family val="1"/>
      <charset val="204"/>
    </font>
    <font>
      <i val="true"/>
      <sz val="8"/>
      <color rgb="FF000000"/>
      <name val="Times New Roman"/>
      <family val="1"/>
      <charset val="204"/>
    </font>
    <font>
      <sz val="9"/>
      <color rgb="FF000000"/>
      <name val="Times New Roman"/>
      <family val="1"/>
      <charset val="204"/>
    </font>
    <font>
      <i val="true"/>
      <sz val="9"/>
      <color rgb="FF000000"/>
      <name val="Times New Roman"/>
      <family val="1"/>
      <charset val="204"/>
    </font>
    <font>
      <sz val="11"/>
      <color rgb="FFFF0000"/>
      <name val="Calibri"/>
      <family val="2"/>
      <charset val="204"/>
    </font>
    <font>
      <sz val="14"/>
      <color rgb="FF000000"/>
      <name val="Calibri"/>
      <family val="2"/>
      <charset val="204"/>
    </font>
    <font>
      <b val="true"/>
      <sz val="14"/>
      <color rgb="FF000000"/>
      <name val="Calibri"/>
      <family val="2"/>
      <charset val="204"/>
    </font>
    <font>
      <sz val="11"/>
      <color rgb="FF9C0006"/>
      <name val="Calibri"/>
      <family val="2"/>
      <charset val="204"/>
    </font>
    <font>
      <sz val="12"/>
      <color rgb="FF000000"/>
      <name val="Calibri"/>
      <family val="2"/>
      <charset val="204"/>
    </font>
    <font>
      <b val="true"/>
      <sz val="12"/>
      <color rgb="FF000000"/>
      <name val="Calibri"/>
      <family val="2"/>
      <charset val="204"/>
    </font>
    <font>
      <sz val="12"/>
      <color rgb="FF9C0006"/>
      <name val="Calibri"/>
      <family val="2"/>
      <charset val="204"/>
    </font>
    <font>
      <b val="true"/>
      <sz val="11"/>
      <color rgb="FF000000"/>
      <name val="Calibri"/>
      <family val="2"/>
      <charset val="204"/>
    </font>
    <font>
      <b val="true"/>
      <sz val="11"/>
      <color rgb="FF9C0006"/>
      <name val="Calibri"/>
      <family val="2"/>
      <charset val="204"/>
    </font>
    <font>
      <sz val="14"/>
      <name val="Calibri"/>
      <family val="2"/>
      <charset val="204"/>
    </font>
    <font>
      <sz val="14"/>
      <color rgb="FFFF0000"/>
      <name val="Calibri"/>
      <family val="2"/>
      <charset val="204"/>
    </font>
    <font>
      <i val="true"/>
      <sz val="11"/>
      <color rgb="FFFF0000"/>
      <name val="Calibri"/>
      <family val="2"/>
      <charset val="204"/>
    </font>
  </fonts>
  <fills count="7">
    <fill>
      <patternFill patternType="none"/>
    </fill>
    <fill>
      <patternFill patternType="gray125"/>
    </fill>
    <fill>
      <patternFill patternType="solid">
        <fgColor rgb="FFFFC7CE"/>
        <bgColor rgb="FFCCCCFF"/>
      </patternFill>
    </fill>
    <fill>
      <patternFill patternType="solid">
        <fgColor rgb="FFDEEBF7"/>
        <bgColor rgb="FFE2F0D9"/>
      </patternFill>
    </fill>
    <fill>
      <patternFill patternType="solid">
        <fgColor rgb="FFE2F0D9"/>
        <bgColor rgb="FFDEEBF7"/>
      </patternFill>
    </fill>
    <fill>
      <patternFill patternType="solid">
        <fgColor rgb="FFFFF2CC"/>
        <bgColor rgb="FFE2F0D9"/>
      </patternFill>
    </fill>
    <fill>
      <patternFill patternType="solid">
        <fgColor rgb="FFAFABAB"/>
        <bgColor rgb="FF969696"/>
      </patternFill>
    </fill>
  </fills>
  <borders count="23">
    <border diagonalUp="false" diagonalDown="false">
      <left/>
      <right/>
      <top/>
      <bottom/>
      <diagonal/>
    </border>
    <border diagonalUp="false" diagonalDown="false">
      <left/>
      <right/>
      <top/>
      <bottom style="thin"/>
      <diagonal/>
    </border>
    <border diagonalUp="false" diagonalDown="false">
      <left/>
      <right/>
      <top style="thin"/>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right/>
      <top style="medium"/>
      <bottom style="medium"/>
      <diagonal/>
    </border>
    <border diagonalUp="false" diagonalDown="false">
      <left style="thin"/>
      <right style="medium"/>
      <top style="medium"/>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bottom/>
      <diagonal/>
    </border>
    <border diagonalUp="false" diagonalDown="false">
      <left/>
      <right style="medium"/>
      <top/>
      <bottom/>
      <diagonal/>
    </border>
    <border diagonalUp="false" diagonalDown="false">
      <left style="medium"/>
      <right/>
      <top style="medium"/>
      <bottom style="medium"/>
      <diagonal/>
    </border>
    <border diagonalUp="false" diagonalDown="false">
      <left/>
      <right style="medium"/>
      <top style="medium"/>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22"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cellStyleXfs>
  <cellXfs count="132">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center"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tru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4" fontId="9" fillId="0" borderId="0" xfId="0" applyFont="true" applyBorder="tru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true" applyAlignment="true" applyProtection="true">
      <alignment horizontal="left" vertical="center" textRotation="0" wrapText="true" indent="0" shrinkToFit="false"/>
      <protection locked="true" hidden="false"/>
    </xf>
    <xf numFmtId="164" fontId="13" fillId="0" borderId="0" xfId="0" applyFont="true" applyBorder="true" applyAlignment="true" applyProtection="true">
      <alignment horizontal="left" vertical="center" textRotation="0" wrapText="true" indent="0" shrinkToFit="false"/>
      <protection locked="true" hidden="false"/>
    </xf>
    <xf numFmtId="164" fontId="15" fillId="0" borderId="1" xfId="0" applyFont="true" applyBorder="true" applyAlignment="true" applyProtection="true">
      <alignment horizontal="left" vertical="bottom" textRotation="0" wrapText="true" indent="0" shrinkToFit="false"/>
      <protection locked="true" hidden="false"/>
    </xf>
    <xf numFmtId="164" fontId="16" fillId="0" borderId="2" xfId="0" applyFont="true" applyBorder="true" applyAlignment="true" applyProtection="true">
      <alignment horizontal="center" vertical="top" textRotation="0" wrapText="true" indent="0" shrinkToFit="false"/>
      <protection locked="true" hidden="false"/>
    </xf>
    <xf numFmtId="164" fontId="17" fillId="0" borderId="0" xfId="0" applyFont="true" applyBorder="false" applyAlignment="true" applyProtection="true">
      <alignment horizontal="general" vertical="top" textRotation="0" wrapText="false" indent="0" shrinkToFit="false"/>
      <protection locked="true" hidden="false"/>
    </xf>
    <xf numFmtId="164" fontId="7" fillId="0"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4" fontId="16" fillId="0" borderId="0" xfId="0" applyFont="true" applyBorder="true" applyAlignment="true" applyProtection="true">
      <alignment horizontal="center" vertical="center"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left" vertical="bottom" textRotation="0" wrapText="true" indent="0" shrinkToFit="false"/>
      <protection locked="true" hidden="false"/>
    </xf>
    <xf numFmtId="164" fontId="15" fillId="0" borderId="1" xfId="0" applyFont="true" applyBorder="true" applyAlignment="true" applyProtection="true">
      <alignment horizontal="center" vertical="bottom" textRotation="0" wrapText="true" indent="0" shrinkToFit="false"/>
      <protection locked="true" hidden="false"/>
    </xf>
    <xf numFmtId="164" fontId="16" fillId="0" borderId="2" xfId="0" applyFont="true" applyBorder="true" applyAlignment="true" applyProtection="true">
      <alignment horizontal="center" vertical="center" textRotation="0" wrapText="true" indent="0" shrinkToFit="false"/>
      <protection locked="true" hidden="false"/>
    </xf>
    <xf numFmtId="164" fontId="15" fillId="0" borderId="1"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16" fillId="0" borderId="0" xfId="0" applyFont="true" applyBorder="true" applyAlignment="true" applyProtection="true">
      <alignment horizontal="center" vertical="top" textRotation="0" wrapText="false" indent="0" shrinkToFit="false"/>
      <protection locked="true" hidden="false"/>
    </xf>
    <xf numFmtId="164" fontId="7" fillId="0" borderId="1" xfId="0" applyFont="true" applyBorder="true" applyAlignment="true" applyProtection="true">
      <alignment horizontal="center" vertical="bottom" textRotation="0" wrapText="true" indent="0" shrinkToFit="false"/>
      <protection locked="true" hidden="false"/>
    </xf>
    <xf numFmtId="164" fontId="17" fillId="0" borderId="1" xfId="0" applyFont="true" applyBorder="true" applyAlignment="true" applyProtection="true">
      <alignment horizontal="center" vertical="top" textRotation="0" wrapText="false" indent="0" shrinkToFit="false"/>
      <protection locked="true" hidden="false"/>
    </xf>
    <xf numFmtId="164" fontId="7" fillId="0" borderId="1" xfId="0" applyFont="true" applyBorder="tru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true" applyAlignment="true" applyProtection="true">
      <alignment horizontal="left" vertical="center"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justify" vertical="center" textRotation="0" wrapText="false" indent="0" shrinkToFit="false"/>
      <protection locked="true" hidden="false"/>
    </xf>
    <xf numFmtId="164" fontId="16" fillId="0" borderId="2" xfId="0" applyFont="true" applyBorder="true" applyAlignment="true" applyProtection="true">
      <alignment horizontal="center" vertical="top" textRotation="0" wrapText="false" indent="0" shrinkToFit="false"/>
      <protection locked="true" hidden="false"/>
    </xf>
    <xf numFmtId="164" fontId="6" fillId="0" borderId="1" xfId="0" applyFont="true" applyBorder="true" applyAlignment="true" applyProtection="true">
      <alignment horizontal="center" vertical="bottom" textRotation="0" wrapText="false" indent="0" shrinkToFit="false"/>
      <protection locked="true" hidden="false"/>
    </xf>
    <xf numFmtId="164" fontId="18" fillId="0" borderId="2" xfId="0" applyFont="true" applyBorder="true" applyAlignment="true" applyProtection="true">
      <alignment horizontal="center" vertical="top" textRotation="0" wrapText="false" indent="0" shrinkToFit="false"/>
      <protection locked="true" hidden="false"/>
    </xf>
    <xf numFmtId="164" fontId="7" fillId="0" borderId="1" xfId="0" applyFont="true" applyBorder="true" applyAlignment="true" applyProtection="true">
      <alignment horizontal="right" vertical="bottom" textRotation="0" wrapText="false" indent="0" shrinkToFit="false"/>
      <protection locked="true" hidden="false"/>
    </xf>
    <xf numFmtId="164" fontId="18" fillId="0" borderId="0" xfId="0" applyFont="true" applyBorder="false" applyAlignment="true" applyProtection="true">
      <alignment horizontal="right" vertical="top"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tru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center" vertical="center" textRotation="0" wrapText="true" indent="0" shrinkToFit="false"/>
      <protection locked="true" hidden="false"/>
    </xf>
    <xf numFmtId="164" fontId="19"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19"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xf numFmtId="164" fontId="20" fillId="0" borderId="0" xfId="0" applyFont="true" applyBorder="false" applyAlignment="true" applyProtection="true">
      <alignment horizontal="center" vertical="bottom" textRotation="0" wrapText="true" indent="0" shrinkToFit="false"/>
      <protection locked="true" hidden="false"/>
    </xf>
    <xf numFmtId="164" fontId="21" fillId="0" borderId="0" xfId="0" applyFont="true" applyBorder="false" applyAlignment="true" applyProtection="true">
      <alignment horizontal="center" vertical="center" textRotation="0" wrapText="true" indent="0" shrinkToFit="false"/>
      <protection locked="true" hidden="false"/>
    </xf>
    <xf numFmtId="164" fontId="20" fillId="0" borderId="0" xfId="0" applyFont="true" applyBorder="false" applyAlignment="true" applyProtection="true">
      <alignment horizontal="center" vertical="center" textRotation="90" wrapText="true" indent="0" shrinkToFit="false"/>
      <protection locked="true" hidden="false"/>
    </xf>
    <xf numFmtId="164" fontId="20" fillId="0" borderId="0" xfId="0" applyFont="true" applyBorder="false" applyAlignment="true" applyProtection="true">
      <alignment horizontal="center" vertical="center" textRotation="0" wrapText="true" indent="0" shrinkToFit="false"/>
      <protection locked="true" hidden="false"/>
    </xf>
    <xf numFmtId="164" fontId="22" fillId="2" borderId="0" xfId="22" applyFont="true" applyBorder="true" applyAlignment="true" applyProtection="true">
      <alignment horizontal="center" vertical="center" textRotation="0" wrapText="true" indent="0" shrinkToFit="false"/>
      <protection locked="true" hidden="false"/>
    </xf>
    <xf numFmtId="164" fontId="20" fillId="0" borderId="3" xfId="0" applyFont="true" applyBorder="true" applyAlignment="true" applyProtection="true">
      <alignment horizontal="center" vertical="center" textRotation="0" wrapText="true" indent="0" shrinkToFit="false"/>
      <protection locked="true" hidden="false"/>
    </xf>
    <xf numFmtId="164" fontId="22" fillId="2" borderId="4" xfId="22" applyFont="true" applyBorder="true" applyAlignment="true" applyProtection="true">
      <alignment horizontal="center" vertical="center" textRotation="0" wrapText="true" indent="0" shrinkToFit="false"/>
      <protection locked="true" hidden="false"/>
    </xf>
    <xf numFmtId="166" fontId="20" fillId="0" borderId="4" xfId="0" applyFont="true" applyBorder="true" applyAlignment="true" applyProtection="true">
      <alignment horizontal="center" vertical="center" textRotation="0" wrapText="true" indent="0" shrinkToFit="false"/>
      <protection locked="true" hidden="false"/>
    </xf>
    <xf numFmtId="164" fontId="20" fillId="0" borderId="5"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23" fillId="0" borderId="0" xfId="0" applyFont="true" applyBorder="false" applyAlignment="true" applyProtection="true">
      <alignment horizontal="center" vertical="center"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1" fillId="0" borderId="6" xfId="0" applyFont="true" applyBorder="true" applyAlignment="true" applyProtection="true">
      <alignment horizontal="center" vertical="center" textRotation="0" wrapText="true" indent="0" shrinkToFit="false"/>
      <protection locked="true" hidden="false"/>
    </xf>
    <xf numFmtId="164" fontId="24" fillId="0" borderId="6" xfId="0" applyFont="true" applyBorder="true" applyAlignment="true" applyProtection="true">
      <alignment horizontal="center" vertical="center" textRotation="0" wrapText="true" indent="0" shrinkToFit="false"/>
      <protection locked="true" hidden="false"/>
    </xf>
    <xf numFmtId="164" fontId="20" fillId="0" borderId="6" xfId="0" applyFont="true" applyBorder="true" applyAlignment="true" applyProtection="true">
      <alignment horizontal="center" vertical="center" textRotation="0" wrapText="true" indent="0" shrinkToFit="false"/>
      <protection locked="true" hidden="false"/>
    </xf>
    <xf numFmtId="164" fontId="20" fillId="0" borderId="6" xfId="22" applyFont="true" applyBorder="true" applyAlignment="true" applyProtection="true">
      <alignment horizontal="center" vertical="center" textRotation="0" wrapText="true" indent="0" shrinkToFit="false"/>
      <protection locked="true" hidden="false"/>
    </xf>
    <xf numFmtId="164" fontId="25" fillId="2" borderId="6" xfId="22" applyFont="true" applyBorder="true" applyAlignment="true" applyProtection="true">
      <alignment horizontal="center" vertical="center" textRotation="0" wrapText="true" indent="0" shrinkToFit="false"/>
      <protection locked="true" hidden="false"/>
    </xf>
    <xf numFmtId="164" fontId="26" fillId="0" borderId="6" xfId="0" applyFont="true" applyBorder="true" applyAlignment="true" applyProtection="true">
      <alignment horizontal="center" vertical="center" textRotation="90" wrapText="true" indent="0" shrinkToFit="false"/>
      <protection locked="true" hidden="false"/>
    </xf>
    <xf numFmtId="164" fontId="26" fillId="3" borderId="6" xfId="23" applyFont="true" applyBorder="true" applyAlignment="true" applyProtection="true">
      <alignment horizontal="center" vertical="center" textRotation="90" wrapText="true" indent="0" shrinkToFit="false"/>
      <protection locked="true" hidden="false"/>
    </xf>
    <xf numFmtId="164" fontId="27" fillId="2" borderId="6" xfId="22" applyFont="true" applyBorder="true" applyAlignment="true" applyProtection="true">
      <alignment horizontal="center" vertical="center" textRotation="90" wrapText="true" indent="0" shrinkToFit="false"/>
      <protection locked="true" hidden="false"/>
    </xf>
    <xf numFmtId="164" fontId="26" fillId="4" borderId="6" xfId="24" applyFont="true" applyBorder="true" applyAlignment="true" applyProtection="true">
      <alignment horizontal="center" vertical="center" textRotation="90" wrapText="true" indent="0" shrinkToFit="false"/>
      <protection locked="true" hidden="false"/>
    </xf>
    <xf numFmtId="164" fontId="26" fillId="5" borderId="6" xfId="25" applyFont="true" applyBorder="true" applyAlignment="true" applyProtection="true">
      <alignment horizontal="center" vertical="center" textRotation="90" wrapText="true" indent="0" shrinkToFit="false"/>
      <protection locked="true" hidden="false"/>
    </xf>
    <xf numFmtId="164" fontId="0" fillId="0" borderId="6" xfId="0" applyFont="true" applyBorder="true" applyAlignment="true" applyProtection="true">
      <alignment horizontal="center" vertical="center" textRotation="90" wrapText="true" indent="0" shrinkToFit="false"/>
      <protection locked="true" hidden="false"/>
    </xf>
    <xf numFmtId="164" fontId="0" fillId="3" borderId="6" xfId="23" applyFont="true" applyBorder="true" applyAlignment="true" applyProtection="true">
      <alignment horizontal="center" vertical="center" textRotation="90" wrapText="true" indent="0" shrinkToFit="false"/>
      <protection locked="true" hidden="false"/>
    </xf>
    <xf numFmtId="164" fontId="22" fillId="2" borderId="6" xfId="22" applyFont="true" applyBorder="true" applyAlignment="true" applyProtection="true">
      <alignment horizontal="center" vertical="center" textRotation="90" wrapText="true" indent="0" shrinkToFit="false"/>
      <protection locked="true" hidden="false"/>
    </xf>
    <xf numFmtId="164" fontId="0" fillId="4" borderId="6" xfId="24" applyFont="true" applyBorder="true" applyAlignment="true" applyProtection="true">
      <alignment horizontal="center" vertical="center" textRotation="90" wrapText="true" indent="0" shrinkToFit="false"/>
      <protection locked="true" hidden="false"/>
    </xf>
    <xf numFmtId="166" fontId="0" fillId="5" borderId="6" xfId="25" applyFont="true" applyBorder="true" applyAlignment="true" applyProtection="true">
      <alignment horizontal="center" vertical="center" textRotation="90" wrapText="true" indent="0" shrinkToFit="false"/>
      <protection locked="true" hidden="false"/>
    </xf>
    <xf numFmtId="164" fontId="0" fillId="0" borderId="7" xfId="0" applyFont="true" applyBorder="true" applyAlignment="true" applyProtection="true">
      <alignment horizontal="center" vertical="center" textRotation="90" wrapText="true" indent="0" shrinkToFit="false"/>
      <protection locked="true" hidden="false"/>
    </xf>
    <xf numFmtId="164" fontId="0" fillId="3" borderId="7" xfId="23" applyFont="true" applyBorder="true" applyAlignment="true" applyProtection="true">
      <alignment horizontal="center" vertical="center" textRotation="90" wrapText="true" indent="0" shrinkToFit="false"/>
      <protection locked="true" hidden="false"/>
    </xf>
    <xf numFmtId="164" fontId="22" fillId="2" borderId="7" xfId="22" applyFont="true" applyBorder="true" applyAlignment="true" applyProtection="true">
      <alignment horizontal="center" vertical="center" textRotation="90" wrapText="true" indent="0" shrinkToFit="false"/>
      <protection locked="true" hidden="false"/>
    </xf>
    <xf numFmtId="164" fontId="0" fillId="4" borderId="7" xfId="24" applyFont="true" applyBorder="true" applyAlignment="true" applyProtection="true">
      <alignment horizontal="center" vertical="center" textRotation="90" wrapText="true" indent="0" shrinkToFit="false"/>
      <protection locked="true" hidden="false"/>
    </xf>
    <xf numFmtId="166" fontId="0" fillId="5" borderId="7" xfId="25" applyFont="true" applyBorder="true" applyAlignment="true" applyProtection="true">
      <alignment horizontal="center" vertical="center" textRotation="90" wrapText="true" indent="0" shrinkToFit="false"/>
      <protection locked="true" hidden="false"/>
    </xf>
    <xf numFmtId="164" fontId="0" fillId="0" borderId="8" xfId="0" applyFont="true" applyBorder="true" applyAlignment="true" applyProtection="true">
      <alignment horizontal="center" vertical="center" textRotation="90" wrapText="true" indent="0" shrinkToFit="false"/>
      <protection locked="true" hidden="false"/>
    </xf>
    <xf numFmtId="164" fontId="0" fillId="3" borderId="8" xfId="23" applyFont="true" applyBorder="true" applyAlignment="true" applyProtection="true">
      <alignment horizontal="center" vertical="center" textRotation="90" wrapText="true" indent="0" shrinkToFit="false"/>
      <protection locked="true" hidden="false"/>
    </xf>
    <xf numFmtId="164" fontId="0" fillId="4" borderId="8" xfId="24" applyFont="true" applyBorder="true" applyAlignment="true" applyProtection="true">
      <alignment horizontal="center" vertical="center" textRotation="90" wrapText="true" indent="0" shrinkToFit="false"/>
      <protection locked="true" hidden="false"/>
    </xf>
    <xf numFmtId="164" fontId="22" fillId="2" borderId="8" xfId="22" applyFont="true" applyBorder="true" applyAlignment="true" applyProtection="true">
      <alignment horizontal="center" vertical="center" textRotation="90" wrapText="true" indent="0" shrinkToFit="false"/>
      <protection locked="true" hidden="false"/>
    </xf>
    <xf numFmtId="166" fontId="0" fillId="5" borderId="8" xfId="25" applyFont="true" applyBorder="true" applyAlignment="true" applyProtection="true">
      <alignment horizontal="center" vertical="center" textRotation="90" wrapText="true" indent="0" shrinkToFit="false"/>
      <protection locked="true" hidden="false"/>
    </xf>
    <xf numFmtId="164" fontId="0" fillId="0" borderId="9" xfId="0" applyFont="true" applyBorder="true" applyAlignment="true" applyProtection="true">
      <alignment horizontal="center" vertical="center" textRotation="90" wrapText="true" indent="0" shrinkToFit="false"/>
      <protection locked="true" hidden="false"/>
    </xf>
    <xf numFmtId="164" fontId="0" fillId="3" borderId="10" xfId="23" applyFont="true" applyBorder="true" applyAlignment="true" applyProtection="true">
      <alignment horizontal="center" vertical="center" textRotation="90" wrapText="true" indent="0" shrinkToFit="false"/>
      <protection locked="true" hidden="false"/>
    </xf>
    <xf numFmtId="164" fontId="0" fillId="0" borderId="11" xfId="0" applyFont="false" applyBorder="true" applyAlignment="true" applyProtection="true">
      <alignment horizontal="general" vertical="bottom" textRotation="0" wrapText="true" indent="0" shrinkToFit="false"/>
      <protection locked="true" hidden="false"/>
    </xf>
    <xf numFmtId="164" fontId="22" fillId="2" borderId="10" xfId="22" applyFont="true" applyBorder="true" applyAlignment="true" applyProtection="true">
      <alignment horizontal="center" vertical="center" textRotation="90" wrapText="true" indent="0" shrinkToFit="false"/>
      <protection locked="true" hidden="false"/>
    </xf>
    <xf numFmtId="164" fontId="0" fillId="4" borderId="10" xfId="24" applyFont="true" applyBorder="true" applyAlignment="true" applyProtection="true">
      <alignment horizontal="center" vertical="center" textRotation="90" wrapText="true" indent="0" shrinkToFit="false"/>
      <protection locked="true" hidden="false"/>
    </xf>
    <xf numFmtId="166" fontId="0" fillId="5" borderId="10" xfId="25" applyFont="true" applyBorder="true" applyAlignment="true" applyProtection="true">
      <alignment horizontal="center" vertical="center" textRotation="90" wrapText="true" indent="0" shrinkToFit="false"/>
      <protection locked="true" hidden="false"/>
    </xf>
    <xf numFmtId="166" fontId="0" fillId="5" borderId="12" xfId="25" applyFont="true" applyBorder="true" applyAlignment="true" applyProtection="true">
      <alignment horizontal="center" vertical="center" textRotation="90" wrapText="tru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5" fontId="23" fillId="0" borderId="0" xfId="0" applyFont="true" applyBorder="false" applyAlignment="true" applyProtection="true">
      <alignment horizontal="center" vertical="center" textRotation="0" wrapText="true" indent="0" shrinkToFit="false"/>
      <protection locked="true" hidden="false"/>
    </xf>
    <xf numFmtId="164" fontId="23" fillId="0" borderId="0" xfId="0" applyFont="true" applyBorder="false" applyAlignment="true" applyProtection="true">
      <alignment horizontal="center" vertical="center" textRotation="0" wrapText="true" indent="0" shrinkToFit="false"/>
      <protection locked="true" hidden="false"/>
    </xf>
    <xf numFmtId="165" fontId="24" fillId="0" borderId="6" xfId="0" applyFont="true" applyBorder="true" applyAlignment="true" applyProtection="true">
      <alignment horizontal="center" vertical="center" textRotation="0" wrapText="tru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5" fontId="25" fillId="2" borderId="6" xfId="22" applyFont="true" applyBorder="true" applyAlignment="true" applyProtection="true">
      <alignment horizontal="center" vertical="center" textRotation="0" wrapText="true" indent="0" shrinkToFit="false"/>
      <protection locked="true" hidden="false"/>
    </xf>
    <xf numFmtId="164" fontId="28" fillId="0" borderId="6" xfId="21"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5"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bottom" textRotation="0" wrapText="true" indent="0" shrinkToFit="false"/>
      <protection locked="true" hidden="false"/>
    </xf>
    <xf numFmtId="164" fontId="26" fillId="0" borderId="0" xfId="0" applyFont="true" applyBorder="false" applyAlignment="true" applyProtection="true">
      <alignment horizontal="center" vertical="bottom" textRotation="0" wrapText="true" indent="0" shrinkToFit="false"/>
      <protection locked="true" hidden="false"/>
    </xf>
    <xf numFmtId="164" fontId="20" fillId="0" borderId="6" xfId="0" applyFont="true" applyBorder="true" applyAlignment="true" applyProtection="true">
      <alignment horizontal="center" vertical="bottom" textRotation="0" wrapText="true" indent="0" shrinkToFit="false"/>
      <protection locked="true" hidden="false"/>
    </xf>
    <xf numFmtId="164" fontId="28" fillId="0" borderId="6" xfId="0" applyFont="true" applyBorder="true" applyAlignment="true" applyProtection="true">
      <alignment horizontal="center" vertical="bottom" textRotation="0" wrapText="true" indent="0" shrinkToFit="false"/>
      <protection locked="true" hidden="false"/>
    </xf>
    <xf numFmtId="164" fontId="29" fillId="0" borderId="6" xfId="0" applyFont="true" applyBorder="true" applyAlignment="true" applyProtection="true">
      <alignment horizontal="center" vertical="center" textRotation="0" wrapText="true" indent="0" shrinkToFit="false"/>
      <protection locked="true" hidden="false"/>
    </xf>
    <xf numFmtId="165" fontId="26" fillId="0" borderId="0" xfId="0" applyFont="true" applyBorder="fals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center" vertical="center" textRotation="0" wrapText="true" indent="0" shrinkToFit="false"/>
      <protection locked="true" hidden="false"/>
    </xf>
    <xf numFmtId="164" fontId="0" fillId="0" borderId="13" xfId="0" applyFont="true" applyBorder="true" applyAlignment="true" applyProtection="true">
      <alignment horizontal="center" vertical="center" textRotation="0" wrapText="true" indent="0" shrinkToFit="false"/>
      <protection locked="true" hidden="false"/>
    </xf>
    <xf numFmtId="164" fontId="0" fillId="0" borderId="14" xfId="0" applyFont="true" applyBorder="true" applyAlignment="true" applyProtection="true">
      <alignment horizontal="center" vertical="center" textRotation="0" wrapText="true" indent="0" shrinkToFit="false"/>
      <protection locked="true" hidden="false"/>
    </xf>
    <xf numFmtId="164" fontId="0" fillId="0" borderId="15" xfId="0" applyFont="true" applyBorder="true" applyAlignment="true" applyProtection="true">
      <alignment horizontal="center" vertical="center" textRotation="0" wrapText="true" indent="0" shrinkToFit="false"/>
      <protection locked="true" hidden="false"/>
    </xf>
    <xf numFmtId="164" fontId="0" fillId="0" borderId="16" xfId="0" applyFont="true" applyBorder="true" applyAlignment="true" applyProtection="true">
      <alignment horizontal="center" vertical="center" textRotation="0" wrapText="true" indent="0" shrinkToFit="false"/>
      <protection locked="true" hidden="false"/>
    </xf>
    <xf numFmtId="164" fontId="0" fillId="0" borderId="17" xfId="0" applyFont="true" applyBorder="true" applyAlignment="true" applyProtection="true">
      <alignment horizontal="center" vertical="center" textRotation="0" wrapText="true" indent="0" shrinkToFit="false"/>
      <protection locked="true" hidden="false"/>
    </xf>
    <xf numFmtId="164" fontId="0" fillId="0" borderId="18" xfId="0" applyFont="true" applyBorder="true" applyAlignment="true" applyProtection="true">
      <alignment horizontal="center" vertical="center" textRotation="0" wrapText="true" indent="0" shrinkToFit="false"/>
      <protection locked="true" hidden="false"/>
    </xf>
    <xf numFmtId="164" fontId="0" fillId="0" borderId="19" xfId="0" applyFont="true" applyBorder="true" applyAlignment="true" applyProtection="true">
      <alignment horizontal="center" vertical="center" textRotation="0" wrapText="true" indent="0" shrinkToFit="false"/>
      <protection locked="true" hidden="false"/>
    </xf>
    <xf numFmtId="164" fontId="0" fillId="0" borderId="20" xfId="0" applyFont="true" applyBorder="true" applyAlignment="true" applyProtection="true">
      <alignment horizontal="center" vertical="center" textRotation="0" wrapText="true" indent="0" shrinkToFit="false"/>
      <protection locked="true" hidden="false"/>
    </xf>
    <xf numFmtId="164" fontId="30" fillId="0" borderId="16" xfId="0" applyFont="true" applyBorder="true" applyAlignment="true" applyProtection="true">
      <alignment horizontal="center" vertical="center" textRotation="0" wrapText="true" indent="0" shrinkToFit="false"/>
      <protection locked="true" hidden="false"/>
    </xf>
    <xf numFmtId="164" fontId="30" fillId="0" borderId="17" xfId="0" applyFont="true" applyBorder="true" applyAlignment="true" applyProtection="true">
      <alignment horizontal="center" vertical="center" textRotation="0" wrapText="true" indent="0" shrinkToFit="false"/>
      <protection locked="true" hidden="false"/>
    </xf>
    <xf numFmtId="164" fontId="30" fillId="0" borderId="18" xfId="0" applyFont="true" applyBorder="true" applyAlignment="true" applyProtection="true">
      <alignment horizontal="center" vertical="center" textRotation="0" wrapText="true" indent="0" shrinkToFit="false"/>
      <protection locked="true" hidden="false"/>
    </xf>
    <xf numFmtId="164" fontId="30" fillId="0" borderId="0" xfId="0" applyFont="true" applyBorder="false" applyAlignment="true" applyProtection="true">
      <alignment horizontal="general" vertical="bottom" textRotation="0" wrapText="true" indent="0" shrinkToFit="false"/>
      <protection locked="true" hidden="false"/>
    </xf>
    <xf numFmtId="164" fontId="30" fillId="0" borderId="19" xfId="0" applyFont="true" applyBorder="true" applyAlignment="true" applyProtection="true">
      <alignment horizontal="center" vertical="center" textRotation="0" wrapText="true" indent="0" shrinkToFit="false"/>
      <protection locked="true" hidden="false"/>
    </xf>
    <xf numFmtId="164" fontId="30" fillId="0" borderId="0" xfId="0" applyFont="true" applyBorder="false" applyAlignment="true" applyProtection="true">
      <alignment horizontal="center" vertical="center" textRotation="0" wrapText="true" indent="0" shrinkToFit="false"/>
      <protection locked="true" hidden="false"/>
    </xf>
    <xf numFmtId="164" fontId="30" fillId="0" borderId="20" xfId="0" applyFont="true" applyBorder="true" applyAlignment="true" applyProtection="true">
      <alignment horizontal="center" vertical="center" textRotation="0" wrapText="true" indent="0" shrinkToFit="false"/>
      <protection locked="true" hidden="false"/>
    </xf>
    <xf numFmtId="164" fontId="0" fillId="0" borderId="21" xfId="0" applyFont="true" applyBorder="true" applyAlignment="true" applyProtection="true">
      <alignment horizontal="center" vertical="center" textRotation="0" wrapText="true" indent="0" shrinkToFit="false"/>
      <protection locked="true" hidden="false"/>
    </xf>
    <xf numFmtId="164" fontId="0" fillId="0" borderId="11" xfId="0" applyFont="true" applyBorder="true" applyAlignment="true" applyProtection="true">
      <alignment horizontal="center" vertical="center" textRotation="0" wrapText="true" indent="0" shrinkToFit="false"/>
      <protection locked="true" hidden="false"/>
    </xf>
    <xf numFmtId="164" fontId="0" fillId="0" borderId="22" xfId="0" applyFont="true" applyBorder="true" applyAlignment="true" applyProtection="true">
      <alignment horizontal="center" vertical="center"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Обычный 2" xfId="20"/>
    <cellStyle name="Обычный_БД" xfId="21"/>
    <cellStyle name="Excel Built-in Bad" xfId="22"/>
    <cellStyle name="Excel Built-in 20% - Accent1" xfId="23"/>
    <cellStyle name="Excel Built-in 20% - Accent6" xfId="24"/>
    <cellStyle name="Excel Built-in 20% - Accent4" xfId="2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AFABAB"/>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3" activeCellId="0" sqref="A13"/>
    </sheetView>
  </sheetViews>
  <sheetFormatPr defaultColWidth="9.1484375" defaultRowHeight="15.75" zeroHeight="false" outlineLevelRow="0" outlineLevelCol="0"/>
  <cols>
    <col collapsed="false" customWidth="true" hidden="false" outlineLevel="0" max="1" min="1" style="1" width="6.43"/>
    <col collapsed="false" customWidth="true" hidden="false" outlineLevel="0" max="2" min="2" style="1" width="7"/>
    <col collapsed="false" customWidth="true" hidden="false" outlineLevel="0" max="3" min="3" style="1" width="4.71"/>
    <col collapsed="false" customWidth="true" hidden="false" outlineLevel="0" max="4" min="4" style="1" width="9.29"/>
    <col collapsed="false" customWidth="true" hidden="false" outlineLevel="0" max="5" min="5" style="1" width="10.14"/>
    <col collapsed="false" customWidth="false" hidden="false" outlineLevel="0" max="6" min="6" style="1" width="9.14"/>
    <col collapsed="false" customWidth="true" hidden="false" outlineLevel="0" max="7" min="7" style="1" width="11.71"/>
    <col collapsed="false" customWidth="true" hidden="false" outlineLevel="0" max="8" min="8" style="1" width="11.57"/>
    <col collapsed="false" customWidth="true" hidden="false" outlineLevel="0" max="9" min="9" style="1" width="14.71"/>
    <col collapsed="false" customWidth="true" hidden="false" outlineLevel="0" max="10" min="10" style="1" width="16.43"/>
    <col collapsed="false" customWidth="false" hidden="false" outlineLevel="0" max="16384" min="11" style="1" width="9.14"/>
  </cols>
  <sheetData>
    <row r="1" s="3" customFormat="true" ht="52.5" hidden="false" customHeight="true" outlineLevel="0" collapsed="false">
      <c r="A1" s="2" t="s">
        <v>0</v>
      </c>
      <c r="B1" s="2"/>
      <c r="C1" s="2"/>
      <c r="D1" s="2"/>
      <c r="E1" s="2"/>
      <c r="F1" s="2"/>
      <c r="G1" s="2"/>
      <c r="H1" s="2"/>
      <c r="I1" s="2"/>
      <c r="J1" s="2"/>
    </row>
    <row r="2" s="3" customFormat="true" ht="13.5" hidden="false" customHeight="true" outlineLevel="0" collapsed="false">
      <c r="A2" s="4"/>
      <c r="B2" s="4"/>
      <c r="C2" s="4"/>
      <c r="D2" s="4"/>
      <c r="E2" s="4"/>
    </row>
    <row r="3" s="3" customFormat="true" ht="18.75" hidden="false" customHeight="false" outlineLevel="0" collapsed="false">
      <c r="A3" s="5"/>
      <c r="H3" s="4"/>
      <c r="I3" s="6" t="s">
        <v>1</v>
      </c>
      <c r="J3" s="6"/>
    </row>
    <row r="4" customFormat="false" ht="15.75" hidden="false" customHeight="false" outlineLevel="0" collapsed="false">
      <c r="A4" s="7"/>
      <c r="H4" s="4"/>
      <c r="I4" s="8" t="s">
        <v>2</v>
      </c>
      <c r="J4" s="8"/>
    </row>
    <row r="5" customFormat="false" ht="15.75" hidden="false" customHeight="false" outlineLevel="0" collapsed="false">
      <c r="A5" s="7"/>
      <c r="E5" s="9"/>
      <c r="I5" s="10" t="s">
        <v>3</v>
      </c>
      <c r="J5" s="10"/>
    </row>
    <row r="6" customFormat="false" ht="15.75" hidden="false" customHeight="false" outlineLevel="0" collapsed="false">
      <c r="A6" s="7"/>
      <c r="E6" s="9"/>
      <c r="I6" s="8" t="s">
        <v>4</v>
      </c>
      <c r="J6" s="8"/>
    </row>
    <row r="7" s="3" customFormat="true" ht="12" hidden="false" customHeight="true" outlineLevel="0" collapsed="false">
      <c r="A7" s="5"/>
      <c r="B7" s="11"/>
    </row>
    <row r="8" s="3" customFormat="true" ht="19.5" hidden="false" customHeight="true" outlineLevel="0" collapsed="false">
      <c r="A8" s="12" t="s">
        <v>5</v>
      </c>
      <c r="B8" s="12"/>
      <c r="C8" s="12"/>
      <c r="D8" s="12"/>
      <c r="E8" s="12"/>
      <c r="F8" s="12"/>
      <c r="G8" s="12"/>
      <c r="H8" s="12"/>
      <c r="I8" s="12"/>
      <c r="J8" s="12"/>
    </row>
    <row r="9" s="3" customFormat="true" ht="15" hidden="false" customHeight="true" outlineLevel="0" collapsed="false">
      <c r="A9" s="13" t="s">
        <v>6</v>
      </c>
      <c r="B9" s="13"/>
      <c r="C9" s="13"/>
      <c r="D9" s="13"/>
      <c r="E9" s="13"/>
      <c r="F9" s="13"/>
      <c r="G9" s="13"/>
      <c r="H9" s="13"/>
      <c r="I9" s="13"/>
      <c r="J9" s="13"/>
    </row>
    <row r="10" customFormat="false" ht="17.25" hidden="false" customHeight="true" outlineLevel="0" collapsed="false">
      <c r="A10" s="14" t="s">
        <v>7</v>
      </c>
      <c r="B10" s="14"/>
      <c r="C10" s="14"/>
      <c r="D10" s="14"/>
      <c r="E10" s="14"/>
      <c r="F10" s="14"/>
      <c r="G10" s="14"/>
      <c r="H10" s="14"/>
      <c r="I10" s="14"/>
      <c r="J10" s="14"/>
    </row>
    <row r="11" s="3" customFormat="true" ht="6.75" hidden="false" customHeight="true" outlineLevel="0" collapsed="false">
      <c r="A11" s="11"/>
      <c r="B11" s="11"/>
      <c r="C11" s="11"/>
      <c r="D11" s="11"/>
      <c r="E11" s="11"/>
    </row>
    <row r="12" s="3" customFormat="true" ht="18.75" hidden="false" customHeight="true" outlineLevel="0" collapsed="false">
      <c r="A12" s="15"/>
      <c r="B12" s="15"/>
      <c r="C12" s="15"/>
      <c r="D12" s="15"/>
      <c r="E12" s="15"/>
      <c r="F12" s="15"/>
      <c r="G12" s="15"/>
      <c r="H12" s="15"/>
      <c r="I12" s="15"/>
      <c r="J12" s="15"/>
    </row>
    <row r="13" s="3" customFormat="true" ht="18.75" hidden="false" customHeight="true" outlineLevel="0" collapsed="false">
      <c r="A13" s="16" t="s">
        <v>8</v>
      </c>
      <c r="B13" s="16"/>
      <c r="C13" s="16"/>
      <c r="D13" s="16"/>
      <c r="E13" s="5"/>
    </row>
    <row r="14" s="3" customFormat="true" ht="36.75" hidden="false" customHeight="true" outlineLevel="0" collapsed="false">
      <c r="A14" s="17"/>
      <c r="B14" s="17"/>
      <c r="C14" s="17"/>
      <c r="D14" s="17"/>
      <c r="E14" s="17"/>
      <c r="F14" s="17"/>
      <c r="G14" s="17"/>
      <c r="H14" s="17"/>
      <c r="I14" s="17"/>
      <c r="J14" s="17"/>
    </row>
    <row r="15" s="19" customFormat="true" ht="12.75" hidden="false" customHeight="true" outlineLevel="0" collapsed="false">
      <c r="A15" s="18" t="s">
        <v>9</v>
      </c>
      <c r="B15" s="18"/>
      <c r="C15" s="18"/>
      <c r="D15" s="18"/>
      <c r="E15" s="18"/>
      <c r="F15" s="18"/>
      <c r="G15" s="18"/>
      <c r="H15" s="18"/>
      <c r="I15" s="18"/>
      <c r="J15" s="18"/>
    </row>
    <row r="16" s="3" customFormat="true" ht="18.75" hidden="false" customHeight="true" outlineLevel="0" collapsed="false">
      <c r="A16" s="16" t="s">
        <v>10</v>
      </c>
      <c r="B16" s="16"/>
      <c r="C16" s="16"/>
      <c r="D16" s="16"/>
      <c r="E16" s="20"/>
    </row>
    <row r="17" s="3" customFormat="true" ht="36.75" hidden="false" customHeight="true" outlineLevel="0" collapsed="false">
      <c r="A17" s="17"/>
      <c r="B17" s="17"/>
      <c r="C17" s="17"/>
      <c r="D17" s="17"/>
      <c r="E17" s="17"/>
      <c r="F17" s="17"/>
      <c r="G17" s="17"/>
      <c r="H17" s="17"/>
      <c r="I17" s="17"/>
      <c r="J17" s="17"/>
    </row>
    <row r="18" s="19" customFormat="true" ht="12.75" hidden="false" customHeight="true" outlineLevel="0" collapsed="false">
      <c r="A18" s="18" t="s">
        <v>9</v>
      </c>
      <c r="B18" s="18"/>
      <c r="C18" s="18"/>
      <c r="D18" s="18"/>
      <c r="E18" s="18"/>
      <c r="F18" s="18"/>
      <c r="G18" s="18"/>
      <c r="H18" s="18"/>
      <c r="I18" s="18"/>
      <c r="J18" s="18"/>
    </row>
    <row r="19" s="21" customFormat="true" ht="37.5" hidden="false" customHeight="true" outlineLevel="0" collapsed="false">
      <c r="A19" s="17"/>
      <c r="B19" s="17"/>
      <c r="C19" s="17"/>
      <c r="D19" s="17"/>
      <c r="E19" s="17"/>
      <c r="F19" s="17"/>
      <c r="G19" s="17"/>
      <c r="H19" s="17"/>
      <c r="I19" s="17"/>
      <c r="J19" s="17"/>
    </row>
    <row r="20" s="19" customFormat="true" ht="12.75" hidden="false" customHeight="true" outlineLevel="0" collapsed="false">
      <c r="A20" s="18" t="s">
        <v>9</v>
      </c>
      <c r="B20" s="18"/>
      <c r="C20" s="18"/>
      <c r="D20" s="18"/>
      <c r="E20" s="18"/>
      <c r="F20" s="18"/>
      <c r="G20" s="18"/>
      <c r="H20" s="18"/>
      <c r="I20" s="18"/>
      <c r="J20" s="18"/>
    </row>
    <row r="21" s="3" customFormat="true" ht="9.75" hidden="false" customHeight="true" outlineLevel="0" collapsed="false">
      <c r="A21" s="11"/>
      <c r="B21" s="11"/>
      <c r="C21" s="11"/>
      <c r="D21" s="11"/>
      <c r="E21" s="11"/>
    </row>
    <row r="22" s="3" customFormat="true" ht="13.5" hidden="false" customHeight="true" outlineLevel="0" collapsed="false">
      <c r="A22" s="22" t="s">
        <v>11</v>
      </c>
      <c r="B22" s="22"/>
      <c r="C22" s="22"/>
      <c r="D22" s="22"/>
      <c r="E22" s="22"/>
      <c r="F22" s="22"/>
      <c r="G22" s="22"/>
      <c r="H22" s="7"/>
    </row>
    <row r="23" s="3" customFormat="true" ht="30" hidden="false" customHeight="true" outlineLevel="0" collapsed="false">
      <c r="A23" s="17"/>
      <c r="B23" s="17"/>
      <c r="C23" s="17"/>
      <c r="D23" s="17"/>
      <c r="E23" s="17"/>
      <c r="F23" s="17"/>
      <c r="G23" s="17"/>
      <c r="H23" s="17"/>
      <c r="I23" s="17"/>
      <c r="J23" s="17"/>
    </row>
    <row r="24" s="24" customFormat="true" ht="9.75" hidden="false" customHeight="true" outlineLevel="0" collapsed="false">
      <c r="A24" s="23" t="s">
        <v>12</v>
      </c>
      <c r="B24" s="23"/>
      <c r="C24" s="23"/>
      <c r="D24" s="23"/>
      <c r="E24" s="23"/>
      <c r="F24" s="23"/>
      <c r="G24" s="23"/>
      <c r="H24" s="23"/>
      <c r="I24" s="23"/>
      <c r="J24" s="23"/>
    </row>
    <row r="25" s="3" customFormat="true" ht="9.75" hidden="false" customHeight="true" outlineLevel="0" collapsed="false">
      <c r="A25" s="11"/>
      <c r="B25" s="11"/>
      <c r="C25" s="11"/>
      <c r="D25" s="11"/>
      <c r="E25" s="11"/>
    </row>
    <row r="26" s="3" customFormat="true" ht="30.75" hidden="false" customHeight="true" outlineLevel="0" collapsed="false">
      <c r="A26" s="25" t="s">
        <v>13</v>
      </c>
      <c r="B26" s="25"/>
      <c r="C26" s="25"/>
      <c r="D26" s="26"/>
      <c r="E26" s="26"/>
      <c r="F26" s="26"/>
      <c r="G26" s="26"/>
      <c r="H26" s="26"/>
      <c r="I26" s="26"/>
      <c r="J26" s="26"/>
    </row>
    <row r="27" s="3" customFormat="true" ht="9.75" hidden="false" customHeight="true" outlineLevel="0" collapsed="false">
      <c r="A27" s="11"/>
      <c r="B27" s="11"/>
      <c r="C27" s="11"/>
      <c r="D27" s="27" t="s">
        <v>14</v>
      </c>
      <c r="E27" s="27"/>
      <c r="F27" s="27"/>
      <c r="G27" s="27"/>
      <c r="H27" s="27"/>
      <c r="I27" s="27"/>
      <c r="J27" s="27"/>
    </row>
    <row r="28" s="3" customFormat="true" ht="9.75" hidden="false" customHeight="true" outlineLevel="0" collapsed="false">
      <c r="A28" s="20"/>
      <c r="B28" s="20"/>
      <c r="C28" s="20"/>
      <c r="D28" s="20"/>
      <c r="E28" s="20"/>
    </row>
    <row r="29" s="3" customFormat="true" ht="18.75" hidden="false" customHeight="true" outlineLevel="0" collapsed="false">
      <c r="A29" s="22" t="s">
        <v>15</v>
      </c>
      <c r="B29" s="22"/>
      <c r="C29" s="28"/>
      <c r="D29" s="28"/>
      <c r="E29" s="28"/>
      <c r="F29" s="28"/>
      <c r="G29" s="28"/>
      <c r="H29" s="28"/>
      <c r="I29" s="28"/>
      <c r="J29" s="28"/>
    </row>
    <row r="30" customFormat="false" ht="13.5" hidden="false" customHeight="true" outlineLevel="0" collapsed="false">
      <c r="A30" s="29"/>
      <c r="B30" s="29"/>
      <c r="C30" s="30" t="s">
        <v>16</v>
      </c>
      <c r="D30" s="30"/>
      <c r="E30" s="30"/>
      <c r="F30" s="30"/>
      <c r="G30" s="30"/>
      <c r="H30" s="30"/>
      <c r="I30" s="30"/>
      <c r="J30" s="30"/>
    </row>
    <row r="31" s="3" customFormat="true" ht="16.5" hidden="false" customHeight="true" outlineLevel="0" collapsed="false">
      <c r="A31" s="22" t="s">
        <v>17</v>
      </c>
      <c r="B31" s="22"/>
      <c r="C31" s="22"/>
      <c r="D31" s="22"/>
      <c r="E31" s="22"/>
      <c r="F31" s="22"/>
      <c r="G31" s="22"/>
      <c r="H31" s="22"/>
    </row>
    <row r="32" s="3" customFormat="true" ht="18.75" hidden="false" customHeight="true" outlineLevel="0" collapsed="false">
      <c r="A32" s="31"/>
      <c r="B32" s="31"/>
      <c r="C32" s="31"/>
      <c r="D32" s="31"/>
      <c r="E32" s="31"/>
      <c r="F32" s="31"/>
      <c r="G32" s="31"/>
      <c r="H32" s="31"/>
      <c r="I32" s="31"/>
      <c r="J32" s="31"/>
    </row>
    <row r="33" s="3" customFormat="true" ht="18.75" hidden="false" customHeight="true" outlineLevel="0" collapsed="false">
      <c r="A33" s="31"/>
      <c r="B33" s="31"/>
      <c r="C33" s="31"/>
      <c r="D33" s="31"/>
      <c r="E33" s="31"/>
      <c r="F33" s="31"/>
      <c r="G33" s="31"/>
      <c r="H33" s="31"/>
      <c r="I33" s="31"/>
      <c r="J33" s="31"/>
    </row>
    <row r="34" s="3" customFormat="true" ht="18.75" hidden="false" customHeight="true" outlineLevel="0" collapsed="false">
      <c r="A34" s="31"/>
      <c r="B34" s="31"/>
      <c r="C34" s="31"/>
      <c r="D34" s="31"/>
      <c r="E34" s="31"/>
      <c r="F34" s="31"/>
      <c r="G34" s="31"/>
      <c r="H34" s="31"/>
      <c r="I34" s="31"/>
      <c r="J34" s="31"/>
    </row>
    <row r="35" s="3" customFormat="true" ht="18.75" hidden="false" customHeight="true" outlineLevel="0" collapsed="false">
      <c r="A35" s="31"/>
      <c r="B35" s="31"/>
      <c r="C35" s="31"/>
      <c r="D35" s="31"/>
      <c r="E35" s="31"/>
      <c r="F35" s="31"/>
      <c r="G35" s="31"/>
      <c r="H35" s="31"/>
      <c r="I35" s="31"/>
      <c r="J35" s="31"/>
    </row>
    <row r="36" customFormat="false" ht="18.75" hidden="false" customHeight="true" outlineLevel="0" collapsed="false">
      <c r="A36" s="32"/>
      <c r="B36" s="32"/>
      <c r="C36" s="32"/>
      <c r="D36" s="32"/>
      <c r="E36" s="32"/>
      <c r="F36" s="32"/>
      <c r="G36" s="32"/>
      <c r="H36" s="32"/>
      <c r="I36" s="32"/>
      <c r="J36" s="32"/>
    </row>
    <row r="37" s="3" customFormat="true" ht="18.75" hidden="false" customHeight="true" outlineLevel="0" collapsed="false">
      <c r="A37" s="33"/>
      <c r="B37" s="33"/>
      <c r="C37" s="33"/>
      <c r="D37" s="33"/>
      <c r="E37" s="33"/>
      <c r="F37" s="33"/>
      <c r="G37" s="33"/>
      <c r="H37" s="33"/>
      <c r="I37" s="33"/>
      <c r="J37" s="33"/>
    </row>
    <row r="38" customFormat="false" ht="15.75" hidden="false" customHeight="false" outlineLevel="0" collapsed="false">
      <c r="A38" s="34"/>
    </row>
    <row r="39" s="3" customFormat="true" ht="18.75" hidden="false" customHeight="false" outlineLevel="0" collapsed="false">
      <c r="A39" s="35" t="s">
        <v>18</v>
      </c>
      <c r="B39" s="35"/>
      <c r="C39" s="35"/>
      <c r="D39" s="28"/>
      <c r="E39" s="28"/>
      <c r="F39" s="28"/>
      <c r="G39" s="28"/>
      <c r="H39" s="1" t="s">
        <v>19</v>
      </c>
      <c r="J39" s="36"/>
    </row>
    <row r="40" customFormat="false" ht="15.75" hidden="false" customHeight="false" outlineLevel="0" collapsed="false">
      <c r="A40" s="37"/>
      <c r="D40" s="38" t="s">
        <v>20</v>
      </c>
      <c r="E40" s="38"/>
      <c r="F40" s="38"/>
      <c r="G40" s="38"/>
    </row>
    <row r="41" customFormat="false" ht="6" hidden="false" customHeight="true" outlineLevel="0" collapsed="false">
      <c r="A41" s="29"/>
    </row>
    <row r="42" s="3" customFormat="true" ht="18.75" hidden="false" customHeight="false" outlineLevel="0" collapsed="false">
      <c r="A42" s="35" t="s">
        <v>21</v>
      </c>
      <c r="B42" s="35"/>
      <c r="C42" s="35"/>
      <c r="D42" s="35"/>
      <c r="E42" s="33"/>
      <c r="F42" s="33"/>
      <c r="G42" s="33"/>
      <c r="I42" s="39"/>
      <c r="J42" s="39"/>
    </row>
    <row r="43" customFormat="false" ht="12" hidden="false" customHeight="true" outlineLevel="0" collapsed="false">
      <c r="C43" s="29"/>
      <c r="E43" s="40" t="s">
        <v>22</v>
      </c>
      <c r="F43" s="40"/>
      <c r="G43" s="40"/>
      <c r="I43" s="30" t="s">
        <v>23</v>
      </c>
      <c r="J43" s="30"/>
    </row>
    <row r="44" customFormat="false" ht="9.75" hidden="false" customHeight="true" outlineLevel="0" collapsed="false">
      <c r="A44" s="29"/>
    </row>
    <row r="45" s="3" customFormat="true" ht="18.75" hidden="false" customHeight="false" outlineLevel="0" collapsed="false">
      <c r="A45" s="35" t="s">
        <v>24</v>
      </c>
      <c r="B45" s="35"/>
      <c r="C45" s="35"/>
      <c r="D45" s="35"/>
      <c r="E45" s="41"/>
      <c r="F45" s="36"/>
      <c r="G45" s="36"/>
      <c r="I45" s="39"/>
      <c r="J45" s="39"/>
    </row>
    <row r="46" customFormat="false" ht="11.25" hidden="false" customHeight="true" outlineLevel="0" collapsed="false">
      <c r="C46" s="29"/>
      <c r="E46" s="40" t="s">
        <v>22</v>
      </c>
      <c r="F46" s="40"/>
      <c r="G46" s="40"/>
      <c r="I46" s="30" t="s">
        <v>23</v>
      </c>
      <c r="J46" s="30"/>
    </row>
    <row r="47" s="3" customFormat="true" ht="18.75" hidden="false" customHeight="false" outlineLevel="0" collapsed="false">
      <c r="A47" s="35"/>
      <c r="B47" s="35"/>
      <c r="C47" s="35"/>
      <c r="D47" s="35"/>
      <c r="E47" s="41"/>
      <c r="F47" s="36"/>
      <c r="G47" s="36"/>
      <c r="I47" s="39"/>
      <c r="J47" s="39"/>
    </row>
    <row r="48" customFormat="false" ht="10.5" hidden="false" customHeight="true" outlineLevel="0" collapsed="false">
      <c r="C48" s="29"/>
      <c r="E48" s="40" t="s">
        <v>22</v>
      </c>
      <c r="F48" s="40"/>
      <c r="G48" s="40"/>
      <c r="I48" s="30" t="s">
        <v>23</v>
      </c>
      <c r="J48" s="30"/>
    </row>
    <row r="49" customFormat="false" ht="15.75" hidden="false" customHeight="true" outlineLevel="0" collapsed="false">
      <c r="A49" s="7"/>
      <c r="B49" s="7"/>
      <c r="C49" s="7"/>
      <c r="D49" s="7"/>
      <c r="E49" s="42"/>
    </row>
    <row r="50" customFormat="false" ht="15.75" hidden="false" customHeight="false" outlineLevel="0" collapsed="false">
      <c r="A50" s="29"/>
      <c r="F50" s="43"/>
    </row>
    <row r="51" s="3" customFormat="true" ht="18.75" hidden="false" customHeight="false" outlineLevel="0" collapsed="false">
      <c r="A51" s="44"/>
      <c r="B51" s="44"/>
      <c r="C51" s="44"/>
      <c r="D51" s="44"/>
    </row>
  </sheetData>
  <mergeCells count="50">
    <mergeCell ref="A1:J1"/>
    <mergeCell ref="I3:J3"/>
    <mergeCell ref="I4:J4"/>
    <mergeCell ref="I5:J5"/>
    <mergeCell ref="I6:J6"/>
    <mergeCell ref="A8:J8"/>
    <mergeCell ref="A9:J9"/>
    <mergeCell ref="A10:J10"/>
    <mergeCell ref="A12:J12"/>
    <mergeCell ref="A13:D13"/>
    <mergeCell ref="A14:J14"/>
    <mergeCell ref="A15:J15"/>
    <mergeCell ref="A16:D16"/>
    <mergeCell ref="A17:J17"/>
    <mergeCell ref="A18:J18"/>
    <mergeCell ref="A19:J19"/>
    <mergeCell ref="A20:J20"/>
    <mergeCell ref="A22:G22"/>
    <mergeCell ref="A23:J23"/>
    <mergeCell ref="A24:J24"/>
    <mergeCell ref="A26:C26"/>
    <mergeCell ref="D26:J26"/>
    <mergeCell ref="D27:J27"/>
    <mergeCell ref="A29:B29"/>
    <mergeCell ref="C29:J29"/>
    <mergeCell ref="C30:J30"/>
    <mergeCell ref="A31:H31"/>
    <mergeCell ref="A32:J32"/>
    <mergeCell ref="A33:J33"/>
    <mergeCell ref="A34:J34"/>
    <mergeCell ref="A35:J35"/>
    <mergeCell ref="A36:J36"/>
    <mergeCell ref="A37:J37"/>
    <mergeCell ref="A39:C39"/>
    <mergeCell ref="D39:G39"/>
    <mergeCell ref="D40:G40"/>
    <mergeCell ref="A42:D42"/>
    <mergeCell ref="E42:G42"/>
    <mergeCell ref="I42:J42"/>
    <mergeCell ref="E43:G43"/>
    <mergeCell ref="I43:J43"/>
    <mergeCell ref="A45:D45"/>
    <mergeCell ref="I45:J45"/>
    <mergeCell ref="E46:G46"/>
    <mergeCell ref="I46:J46"/>
    <mergeCell ref="A47:D47"/>
    <mergeCell ref="I47:J47"/>
    <mergeCell ref="E48:G48"/>
    <mergeCell ref="I48:J48"/>
    <mergeCell ref="A51:D51"/>
  </mergeCells>
  <dataValidations count="1">
    <dataValidation allowBlank="true" errorStyle="stop" operator="between" showDropDown="false" showErrorMessage="true" showInputMessage="true" sqref="C29:J29" type="list">
      <formula1>БД!$A:$A</formula1>
      <formula2>0</formula2>
    </dataValidation>
  </dataValidations>
  <printOptions headings="false" gridLines="false" gridLinesSet="true" horizontalCentered="true" verticalCentered="false"/>
  <pageMargins left="0.827083333333333" right="0.433333333333333" top="0.774305555555556" bottom="0.747916666666667"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9.1484375" defaultRowHeight="15" zeroHeight="false" outlineLevelRow="0" outlineLevelCol="0"/>
  <cols>
    <col collapsed="false" customWidth="true" hidden="false" outlineLevel="0" max="1" min="1" style="45" width="19.86"/>
    <col collapsed="false" customWidth="true" hidden="false" outlineLevel="0" max="2" min="2" style="45" width="21.57"/>
    <col collapsed="false" customWidth="true" hidden="false" outlineLevel="0" max="3" min="3" style="45" width="21.71"/>
    <col collapsed="false" customWidth="true" hidden="false" outlineLevel="0" max="4" min="4" style="45" width="40.43"/>
    <col collapsed="false" customWidth="true" hidden="false" outlineLevel="0" max="5" min="5" style="45" width="12.86"/>
    <col collapsed="false" customWidth="true" hidden="false" outlineLevel="0" max="6" min="6" style="45" width="40.43"/>
    <col collapsed="false" customWidth="true" hidden="false" outlineLevel="0" max="7" min="7" style="45" width="12.86"/>
    <col collapsed="false" customWidth="true" hidden="false" outlineLevel="0" max="8" min="8" style="45" width="40.14"/>
    <col collapsed="false" customWidth="true" hidden="false" outlineLevel="0" max="9" min="9" style="45" width="14"/>
    <col collapsed="false" customWidth="true" hidden="false" outlineLevel="0" max="10" min="10" style="45" width="19.86"/>
    <col collapsed="false" customWidth="true" hidden="false" outlineLevel="0" max="11" min="11" style="46" width="20.14"/>
    <col collapsed="false" customWidth="true" hidden="false" outlineLevel="0" max="12" min="12" style="47" width="8.68"/>
    <col collapsed="false" customWidth="false" hidden="false" outlineLevel="0" max="16384" min="13" style="46" width="9.14"/>
  </cols>
  <sheetData>
    <row r="1" customFormat="false" ht="45" hidden="false" customHeight="false" outlineLevel="0" collapsed="false">
      <c r="A1" s="48" t="s">
        <v>15</v>
      </c>
      <c r="B1" s="48" t="s">
        <v>25</v>
      </c>
      <c r="C1" s="48" t="s">
        <v>26</v>
      </c>
      <c r="D1" s="48" t="s">
        <v>8</v>
      </c>
      <c r="E1" s="48" t="s">
        <v>27</v>
      </c>
      <c r="F1" s="48" t="s">
        <v>28</v>
      </c>
      <c r="G1" s="48" t="s">
        <v>27</v>
      </c>
      <c r="H1" s="48" t="s">
        <v>29</v>
      </c>
      <c r="I1" s="48" t="s">
        <v>27</v>
      </c>
      <c r="J1" s="48" t="s">
        <v>30</v>
      </c>
      <c r="K1" s="48" t="s">
        <v>31</v>
      </c>
    </row>
    <row r="2" s="49" customFormat="true" ht="75" hidden="false" customHeight="true" outlineLevel="0" collapsed="false">
      <c r="A2" s="45" t="s">
        <v>32</v>
      </c>
      <c r="B2" s="45" t="s">
        <v>33</v>
      </c>
      <c r="C2" s="45" t="s">
        <v>34</v>
      </c>
      <c r="D2" s="45" t="s">
        <v>35</v>
      </c>
      <c r="E2" s="45" t="s">
        <v>36</v>
      </c>
      <c r="F2" s="45" t="s">
        <v>37</v>
      </c>
      <c r="G2" s="45" t="s">
        <v>38</v>
      </c>
      <c r="H2" s="45" t="s">
        <v>39</v>
      </c>
      <c r="I2" s="45" t="s">
        <v>40</v>
      </c>
      <c r="J2" s="45" t="s">
        <v>41</v>
      </c>
      <c r="K2" s="45" t="s">
        <v>42</v>
      </c>
    </row>
    <row r="3" customFormat="false" ht="75" hidden="false" customHeight="true" outlineLevel="0" collapsed="false">
      <c r="A3" s="45" t="s">
        <v>43</v>
      </c>
      <c r="B3" s="45" t="s">
        <v>44</v>
      </c>
      <c r="C3" s="45" t="s">
        <v>34</v>
      </c>
      <c r="D3" s="45" t="s">
        <v>45</v>
      </c>
      <c r="E3" s="45" t="s">
        <v>46</v>
      </c>
      <c r="F3" s="45" t="s">
        <v>47</v>
      </c>
      <c r="G3" s="45" t="s">
        <v>48</v>
      </c>
      <c r="H3" s="45" t="s">
        <v>49</v>
      </c>
      <c r="I3" s="45" t="s">
        <v>50</v>
      </c>
      <c r="J3" s="45" t="s">
        <v>51</v>
      </c>
      <c r="K3" s="45" t="s">
        <v>52</v>
      </c>
    </row>
    <row r="4" s="49" customFormat="true" ht="75" hidden="false" customHeight="true" outlineLevel="0" collapsed="false">
      <c r="A4" s="45" t="s">
        <v>53</v>
      </c>
      <c r="B4" s="45" t="s">
        <v>54</v>
      </c>
      <c r="C4" s="45" t="s">
        <v>34</v>
      </c>
      <c r="D4" s="45" t="s">
        <v>55</v>
      </c>
      <c r="E4" s="45" t="s">
        <v>56</v>
      </c>
      <c r="F4" s="45" t="s">
        <v>57</v>
      </c>
      <c r="G4" s="45" t="s">
        <v>58</v>
      </c>
      <c r="H4" s="45" t="s">
        <v>59</v>
      </c>
      <c r="I4" s="45" t="s">
        <v>60</v>
      </c>
      <c r="J4" s="45" t="s">
        <v>61</v>
      </c>
      <c r="K4" s="45" t="s">
        <v>62</v>
      </c>
    </row>
    <row r="5" customFormat="false" ht="75" hidden="false" customHeight="true" outlineLevel="0" collapsed="false">
      <c r="A5" s="45" t="s">
        <v>63</v>
      </c>
      <c r="B5" s="45" t="s">
        <v>64</v>
      </c>
      <c r="C5" s="45" t="s">
        <v>34</v>
      </c>
      <c r="D5" s="45" t="s">
        <v>65</v>
      </c>
      <c r="E5" s="45" t="s">
        <v>66</v>
      </c>
      <c r="F5" s="45" t="s">
        <v>67</v>
      </c>
      <c r="G5" s="45" t="s">
        <v>68</v>
      </c>
      <c r="H5" s="45" t="s">
        <v>69</v>
      </c>
      <c r="I5" s="45" t="s">
        <v>70</v>
      </c>
      <c r="J5" s="45" t="s">
        <v>71</v>
      </c>
      <c r="K5" s="45" t="s">
        <v>72</v>
      </c>
    </row>
    <row r="6" s="49" customFormat="true" ht="75" hidden="false" customHeight="true" outlineLevel="0" collapsed="false">
      <c r="A6" s="45" t="s">
        <v>73</v>
      </c>
      <c r="B6" s="45" t="s">
        <v>74</v>
      </c>
      <c r="C6" s="45" t="s">
        <v>34</v>
      </c>
      <c r="D6" s="45" t="s">
        <v>75</v>
      </c>
      <c r="E6" s="45" t="s">
        <v>76</v>
      </c>
      <c r="F6" s="45" t="s">
        <v>77</v>
      </c>
      <c r="G6" s="45" t="s">
        <v>78</v>
      </c>
      <c r="H6" s="45" t="s">
        <v>79</v>
      </c>
      <c r="I6" s="45" t="s">
        <v>80</v>
      </c>
      <c r="J6" s="45" t="s">
        <v>81</v>
      </c>
      <c r="K6" s="45" t="s">
        <v>82</v>
      </c>
    </row>
    <row r="7" customFormat="false" ht="75" hidden="false" customHeight="true" outlineLevel="0" collapsed="false">
      <c r="A7" s="45" t="s">
        <v>83</v>
      </c>
      <c r="B7" s="45" t="s">
        <v>84</v>
      </c>
      <c r="C7" s="45" t="s">
        <v>34</v>
      </c>
      <c r="D7" s="45" t="s">
        <v>85</v>
      </c>
      <c r="E7" s="45" t="s">
        <v>86</v>
      </c>
      <c r="F7" s="45" t="s">
        <v>87</v>
      </c>
      <c r="G7" s="45" t="s">
        <v>88</v>
      </c>
      <c r="H7" s="45" t="s">
        <v>89</v>
      </c>
      <c r="I7" s="45" t="s">
        <v>90</v>
      </c>
      <c r="J7" s="45" t="s">
        <v>91</v>
      </c>
      <c r="K7" s="45" t="s">
        <v>92</v>
      </c>
    </row>
    <row r="8" s="49" customFormat="true" ht="75" hidden="false" customHeight="true" outlineLevel="0" collapsed="false">
      <c r="A8" s="45" t="s">
        <v>93</v>
      </c>
      <c r="B8" s="45" t="s">
        <v>94</v>
      </c>
      <c r="C8" s="45" t="s">
        <v>34</v>
      </c>
      <c r="D8" s="45" t="s">
        <v>95</v>
      </c>
      <c r="E8" s="45" t="s">
        <v>96</v>
      </c>
      <c r="F8" s="45" t="s">
        <v>97</v>
      </c>
      <c r="G8" s="45" t="s">
        <v>98</v>
      </c>
      <c r="H8" s="45" t="s">
        <v>99</v>
      </c>
      <c r="I8" s="45" t="s">
        <v>100</v>
      </c>
      <c r="J8" s="45" t="s">
        <v>101</v>
      </c>
      <c r="K8" s="45" t="s">
        <v>102</v>
      </c>
    </row>
    <row r="9" s="49" customFormat="true" ht="75" hidden="false" customHeight="true" outlineLevel="0" collapsed="false">
      <c r="A9" s="45" t="s">
        <v>103</v>
      </c>
      <c r="B9" s="45" t="s">
        <v>104</v>
      </c>
      <c r="C9" s="45" t="s">
        <v>105</v>
      </c>
      <c r="D9" s="45" t="s">
        <v>106</v>
      </c>
      <c r="E9" s="45" t="s">
        <v>107</v>
      </c>
      <c r="F9" s="45" t="s">
        <v>108</v>
      </c>
      <c r="G9" s="45" t="s">
        <v>109</v>
      </c>
      <c r="H9" s="45" t="s">
        <v>110</v>
      </c>
      <c r="I9" s="45" t="s">
        <v>111</v>
      </c>
      <c r="J9" s="45" t="s">
        <v>112</v>
      </c>
      <c r="K9" s="45" t="s">
        <v>113</v>
      </c>
    </row>
    <row r="10" customFormat="false" ht="75" hidden="false" customHeight="true" outlineLevel="0" collapsed="false">
      <c r="A10" s="45" t="s">
        <v>114</v>
      </c>
      <c r="B10" s="45" t="s">
        <v>115</v>
      </c>
      <c r="C10" s="45" t="s">
        <v>105</v>
      </c>
      <c r="D10" s="45" t="s">
        <v>116</v>
      </c>
      <c r="E10" s="45" t="s">
        <v>117</v>
      </c>
      <c r="F10" s="45" t="s">
        <v>118</v>
      </c>
      <c r="G10" s="45" t="s">
        <v>119</v>
      </c>
      <c r="H10" s="45" t="s">
        <v>120</v>
      </c>
      <c r="I10" s="45" t="s">
        <v>121</v>
      </c>
      <c r="J10" s="45" t="s">
        <v>122</v>
      </c>
      <c r="K10" s="45" t="s">
        <v>123</v>
      </c>
    </row>
    <row r="11" customFormat="false" ht="75" hidden="false" customHeight="true" outlineLevel="0" collapsed="false">
      <c r="A11" s="45" t="s">
        <v>124</v>
      </c>
      <c r="B11" s="45" t="s">
        <v>84</v>
      </c>
      <c r="C11" s="45" t="s">
        <v>105</v>
      </c>
      <c r="D11" s="45" t="s">
        <v>85</v>
      </c>
      <c r="E11" s="45" t="s">
        <v>86</v>
      </c>
      <c r="F11" s="45" t="s">
        <v>87</v>
      </c>
      <c r="G11" s="45" t="s">
        <v>88</v>
      </c>
      <c r="H11" s="45" t="s">
        <v>89</v>
      </c>
      <c r="I11" s="45" t="s">
        <v>90</v>
      </c>
      <c r="J11" s="45" t="s">
        <v>125</v>
      </c>
      <c r="K11" s="45" t="s">
        <v>92</v>
      </c>
    </row>
    <row r="12" customFormat="false" ht="75" hidden="false" customHeight="true" outlineLevel="0" collapsed="false">
      <c r="A12" s="45" t="s">
        <v>126</v>
      </c>
      <c r="B12" s="45" t="s">
        <v>127</v>
      </c>
      <c r="C12" s="45" t="s">
        <v>105</v>
      </c>
      <c r="D12" s="45" t="s">
        <v>128</v>
      </c>
      <c r="E12" s="45" t="s">
        <v>129</v>
      </c>
      <c r="F12" s="45" t="s">
        <v>130</v>
      </c>
      <c r="G12" s="45" t="s">
        <v>131</v>
      </c>
      <c r="H12" s="45" t="s">
        <v>132</v>
      </c>
      <c r="I12" s="45" t="s">
        <v>133</v>
      </c>
      <c r="J12" s="45" t="s">
        <v>134</v>
      </c>
      <c r="K12" s="45" t="s">
        <v>135</v>
      </c>
    </row>
    <row r="13" customFormat="false" ht="75" hidden="false" customHeight="true" outlineLevel="0" collapsed="false">
      <c r="A13" s="45" t="s">
        <v>136</v>
      </c>
      <c r="B13" s="45" t="s">
        <v>137</v>
      </c>
      <c r="C13" s="45" t="s">
        <v>105</v>
      </c>
      <c r="D13" s="45" t="s">
        <v>138</v>
      </c>
      <c r="E13" s="45" t="s">
        <v>139</v>
      </c>
      <c r="F13" s="45" t="s">
        <v>67</v>
      </c>
      <c r="G13" s="45" t="s">
        <v>68</v>
      </c>
      <c r="H13" s="45" t="s">
        <v>140</v>
      </c>
      <c r="I13" s="45" t="s">
        <v>141</v>
      </c>
      <c r="J13" s="45" t="s">
        <v>142</v>
      </c>
      <c r="K13" s="45" t="s">
        <v>143</v>
      </c>
    </row>
    <row r="14" customFormat="false" ht="75" hidden="false" customHeight="true" outlineLevel="0" collapsed="false">
      <c r="K14" s="45"/>
    </row>
    <row r="15" customFormat="false" ht="75" hidden="false" customHeight="true" outlineLevel="0" collapsed="false">
      <c r="K15" s="45"/>
    </row>
    <row r="16" customFormat="false" ht="75" hidden="false" customHeight="true" outlineLevel="0" collapsed="false">
      <c r="K16" s="45"/>
    </row>
    <row r="17" customFormat="false" ht="75" hidden="false" customHeight="true" outlineLevel="0" collapsed="false">
      <c r="K17" s="45"/>
    </row>
    <row r="18" customFormat="false" ht="75" hidden="false" customHeight="true" outlineLevel="0" collapsed="false">
      <c r="K18" s="45"/>
    </row>
    <row r="19" customFormat="false" ht="75" hidden="false" customHeight="true" outlineLevel="0" collapsed="false">
      <c r="K19" s="45"/>
    </row>
    <row r="20" customFormat="false" ht="75" hidden="false" customHeight="true" outlineLevel="0" collapsed="false">
      <c r="K20" s="45"/>
    </row>
    <row r="21" customFormat="false" ht="75" hidden="false" customHeight="true" outlineLevel="0" collapsed="false">
      <c r="K21" s="45"/>
    </row>
    <row r="22" customFormat="false" ht="75" hidden="false" customHeight="true" outlineLevel="0" collapsed="false">
      <c r="K22" s="45"/>
    </row>
    <row r="23" customFormat="false" ht="60"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8"/>
  <sheetViews>
    <sheetView showFormulas="false" showGridLines="true" showRowColHeaders="true" showZeros="true" rightToLeft="false" tabSelected="false" showOutlineSymbols="true" defaultGridColor="true" view="normal" topLeftCell="A115" colorId="64" zoomScale="100" zoomScaleNormal="100" zoomScalePageLayoutView="100" workbookViewId="0">
      <selection pane="topLeft" activeCell="A17" activeCellId="0" sqref="A17"/>
    </sheetView>
  </sheetViews>
  <sheetFormatPr defaultColWidth="8.6796875" defaultRowHeight="15" zeroHeight="false" outlineLevelRow="0" outlineLevelCol="0"/>
  <cols>
    <col collapsed="false" customWidth="true" hidden="false" outlineLevel="0" max="1" min="1" style="50" width="40.14"/>
    <col collapsed="false" customWidth="true" hidden="false" outlineLevel="0" max="2" min="2" style="50" width="8"/>
  </cols>
  <sheetData>
    <row r="1" customFormat="false" ht="15" hidden="false" customHeight="false" outlineLevel="0" collapsed="false">
      <c r="A1" s="50" t="s">
        <v>144</v>
      </c>
      <c r="B1" s="50" t="s">
        <v>145</v>
      </c>
    </row>
    <row r="2" customFormat="false" ht="15" hidden="false" customHeight="false" outlineLevel="0" collapsed="false">
      <c r="A2" s="50" t="s">
        <v>146</v>
      </c>
      <c r="B2" s="50" t="s">
        <v>145</v>
      </c>
    </row>
    <row r="3" customFormat="false" ht="15" hidden="false" customHeight="false" outlineLevel="0" collapsed="false">
      <c r="A3" s="50" t="s">
        <v>147</v>
      </c>
      <c r="B3" s="50" t="s">
        <v>148</v>
      </c>
    </row>
    <row r="4" customFormat="false" ht="15" hidden="false" customHeight="false" outlineLevel="0" collapsed="false">
      <c r="A4" s="51" t="s">
        <v>149</v>
      </c>
      <c r="B4" s="51" t="s">
        <v>150</v>
      </c>
    </row>
    <row r="5" customFormat="false" ht="15" hidden="false" customHeight="false" outlineLevel="0" collapsed="false">
      <c r="A5" s="50" t="s">
        <v>151</v>
      </c>
      <c r="B5" s="50" t="s">
        <v>152</v>
      </c>
    </row>
    <row r="6" customFormat="false" ht="15" hidden="false" customHeight="false" outlineLevel="0" collapsed="false">
      <c r="A6" s="51" t="s">
        <v>153</v>
      </c>
      <c r="B6" s="51" t="s">
        <v>154</v>
      </c>
    </row>
    <row r="7" customFormat="false" ht="15" hidden="false" customHeight="false" outlineLevel="0" collapsed="false">
      <c r="A7" s="50" t="s">
        <v>155</v>
      </c>
      <c r="B7" s="50" t="s">
        <v>156</v>
      </c>
    </row>
    <row r="8" customFormat="false" ht="15" hidden="false" customHeight="false" outlineLevel="0" collapsed="false">
      <c r="A8" s="50" t="s">
        <v>157</v>
      </c>
      <c r="B8" s="50" t="s">
        <v>156</v>
      </c>
    </row>
    <row r="9" customFormat="false" ht="15" hidden="false" customHeight="false" outlineLevel="0" collapsed="false">
      <c r="A9" s="50" t="s">
        <v>158</v>
      </c>
      <c r="B9" s="50" t="s">
        <v>159</v>
      </c>
    </row>
    <row r="10" customFormat="false" ht="15" hidden="false" customHeight="false" outlineLevel="0" collapsed="false">
      <c r="A10" s="50" t="s">
        <v>160</v>
      </c>
      <c r="B10" s="50" t="s">
        <v>159</v>
      </c>
    </row>
    <row r="11" customFormat="false" ht="15" hidden="false" customHeight="false" outlineLevel="0" collapsed="false">
      <c r="A11" s="50" t="s">
        <v>161</v>
      </c>
      <c r="B11" s="50" t="s">
        <v>162</v>
      </c>
    </row>
    <row r="12" customFormat="false" ht="15" hidden="false" customHeight="false" outlineLevel="0" collapsed="false">
      <c r="A12" s="50" t="s">
        <v>163</v>
      </c>
      <c r="B12" s="50" t="s">
        <v>162</v>
      </c>
    </row>
    <row r="13" customFormat="false" ht="15" hidden="false" customHeight="false" outlineLevel="0" collapsed="false">
      <c r="A13" s="50" t="s">
        <v>164</v>
      </c>
      <c r="B13" s="50" t="s">
        <v>165</v>
      </c>
    </row>
    <row r="14" customFormat="false" ht="15" hidden="false" customHeight="false" outlineLevel="0" collapsed="false">
      <c r="A14" s="50" t="s">
        <v>166</v>
      </c>
      <c r="B14" s="50" t="s">
        <v>165</v>
      </c>
    </row>
    <row r="15" customFormat="false" ht="15" hidden="false" customHeight="false" outlineLevel="0" collapsed="false">
      <c r="A15" s="50" t="s">
        <v>167</v>
      </c>
      <c r="B15" s="50" t="s">
        <v>168</v>
      </c>
    </row>
    <row r="16" customFormat="false" ht="15" hidden="false" customHeight="false" outlineLevel="0" collapsed="false">
      <c r="A16" s="50" t="s">
        <v>169</v>
      </c>
      <c r="B16" s="50" t="s">
        <v>170</v>
      </c>
    </row>
    <row r="17" customFormat="false" ht="15" hidden="false" customHeight="false" outlineLevel="0" collapsed="false">
      <c r="A17" s="51" t="s">
        <v>171</v>
      </c>
      <c r="B17" s="51" t="s">
        <v>172</v>
      </c>
    </row>
    <row r="18" customFormat="false" ht="15" hidden="false" customHeight="false" outlineLevel="0" collapsed="false">
      <c r="A18" s="50" t="s">
        <v>173</v>
      </c>
      <c r="B18" s="50" t="s">
        <v>174</v>
      </c>
    </row>
    <row r="19" customFormat="false" ht="15" hidden="false" customHeight="false" outlineLevel="0" collapsed="false">
      <c r="A19" s="50" t="s">
        <v>175</v>
      </c>
      <c r="B19" s="50" t="s">
        <v>176</v>
      </c>
    </row>
    <row r="20" customFormat="false" ht="15" hidden="false" customHeight="false" outlineLevel="0" collapsed="false">
      <c r="A20" s="50" t="s">
        <v>177</v>
      </c>
      <c r="B20" s="50" t="s">
        <v>178</v>
      </c>
    </row>
    <row r="21" customFormat="false" ht="15" hidden="false" customHeight="false" outlineLevel="0" collapsed="false">
      <c r="A21" s="50" t="s">
        <v>179</v>
      </c>
      <c r="B21" s="50" t="s">
        <v>178</v>
      </c>
    </row>
    <row r="22" customFormat="false" ht="15" hidden="false" customHeight="false" outlineLevel="0" collapsed="false">
      <c r="A22" s="51" t="s">
        <v>180</v>
      </c>
      <c r="B22" s="51" t="s">
        <v>181</v>
      </c>
    </row>
    <row r="23" customFormat="false" ht="15" hidden="false" customHeight="false" outlineLevel="0" collapsed="false">
      <c r="A23" s="50" t="s">
        <v>182</v>
      </c>
      <c r="B23" s="50" t="s">
        <v>183</v>
      </c>
    </row>
    <row r="24" customFormat="false" ht="15" hidden="false" customHeight="false" outlineLevel="0" collapsed="false">
      <c r="A24" s="50" t="s">
        <v>184</v>
      </c>
      <c r="B24" s="50" t="s">
        <v>183</v>
      </c>
    </row>
    <row r="25" customFormat="false" ht="15" hidden="false" customHeight="false" outlineLevel="0" collapsed="false">
      <c r="A25" s="50" t="s">
        <v>185</v>
      </c>
      <c r="B25" s="50" t="s">
        <v>183</v>
      </c>
    </row>
    <row r="26" customFormat="false" ht="15" hidden="false" customHeight="false" outlineLevel="0" collapsed="false">
      <c r="A26" s="50" t="s">
        <v>186</v>
      </c>
      <c r="B26" s="50" t="s">
        <v>183</v>
      </c>
    </row>
    <row r="27" customFormat="false" ht="15" hidden="false" customHeight="false" outlineLevel="0" collapsed="false">
      <c r="A27" s="50" t="s">
        <v>187</v>
      </c>
      <c r="B27" s="50" t="s">
        <v>188</v>
      </c>
    </row>
    <row r="28" customFormat="false" ht="15" hidden="false" customHeight="false" outlineLevel="0" collapsed="false">
      <c r="A28" s="50" t="s">
        <v>189</v>
      </c>
      <c r="B28" s="50" t="s">
        <v>188</v>
      </c>
    </row>
    <row r="29" customFormat="false" ht="15" hidden="false" customHeight="false" outlineLevel="0" collapsed="false">
      <c r="A29" s="50" t="s">
        <v>190</v>
      </c>
      <c r="B29" s="50" t="s">
        <v>188</v>
      </c>
    </row>
    <row r="30" customFormat="false" ht="15" hidden="false" customHeight="false" outlineLevel="0" collapsed="false">
      <c r="A30" s="51" t="s">
        <v>191</v>
      </c>
      <c r="B30" s="51" t="s">
        <v>192</v>
      </c>
    </row>
    <row r="31" customFormat="false" ht="15" hidden="false" customHeight="false" outlineLevel="0" collapsed="false">
      <c r="A31" s="50" t="s">
        <v>193</v>
      </c>
      <c r="B31" s="50" t="s">
        <v>194</v>
      </c>
    </row>
    <row r="32" customFormat="false" ht="15" hidden="false" customHeight="false" outlineLevel="0" collapsed="false">
      <c r="A32" s="50" t="s">
        <v>195</v>
      </c>
      <c r="B32" s="50" t="s">
        <v>194</v>
      </c>
    </row>
    <row r="33" customFormat="false" ht="15" hidden="false" customHeight="false" outlineLevel="0" collapsed="false">
      <c r="A33" s="50" t="s">
        <v>196</v>
      </c>
      <c r="B33" s="50" t="s">
        <v>197</v>
      </c>
    </row>
    <row r="34" customFormat="false" ht="15" hidden="false" customHeight="false" outlineLevel="0" collapsed="false">
      <c r="A34" s="50" t="s">
        <v>198</v>
      </c>
      <c r="B34" s="50" t="s">
        <v>197</v>
      </c>
    </row>
    <row r="35" customFormat="false" ht="15" hidden="false" customHeight="false" outlineLevel="0" collapsed="false">
      <c r="A35" s="50" t="s">
        <v>199</v>
      </c>
      <c r="B35" s="50" t="s">
        <v>200</v>
      </c>
    </row>
    <row r="36" customFormat="false" ht="15" hidden="false" customHeight="false" outlineLevel="0" collapsed="false">
      <c r="A36" s="50" t="s">
        <v>201</v>
      </c>
      <c r="B36" s="50" t="s">
        <v>202</v>
      </c>
    </row>
    <row r="37" customFormat="false" ht="15" hidden="false" customHeight="false" outlineLevel="0" collapsed="false">
      <c r="A37" s="50" t="s">
        <v>203</v>
      </c>
      <c r="B37" s="50" t="s">
        <v>202</v>
      </c>
    </row>
    <row r="38" customFormat="false" ht="15" hidden="false" customHeight="false" outlineLevel="0" collapsed="false">
      <c r="A38" s="50" t="s">
        <v>204</v>
      </c>
      <c r="B38" s="50" t="s">
        <v>205</v>
      </c>
    </row>
    <row r="39" customFormat="false" ht="15" hidden="false" customHeight="false" outlineLevel="0" collapsed="false">
      <c r="A39" s="50" t="s">
        <v>206</v>
      </c>
      <c r="B39" s="50" t="s">
        <v>205</v>
      </c>
    </row>
    <row r="40" customFormat="false" ht="15" hidden="false" customHeight="false" outlineLevel="0" collapsed="false">
      <c r="A40" s="51" t="s">
        <v>207</v>
      </c>
      <c r="B40" s="51" t="s">
        <v>208</v>
      </c>
    </row>
    <row r="41" customFormat="false" ht="15" hidden="false" customHeight="false" outlineLevel="0" collapsed="false">
      <c r="A41" s="51" t="s">
        <v>209</v>
      </c>
      <c r="B41" s="51" t="s">
        <v>208</v>
      </c>
    </row>
    <row r="42" customFormat="false" ht="15" hidden="false" customHeight="false" outlineLevel="0" collapsed="false">
      <c r="A42" s="51" t="s">
        <v>210</v>
      </c>
      <c r="B42" s="51" t="s">
        <v>208</v>
      </c>
    </row>
    <row r="43" customFormat="false" ht="15" hidden="false" customHeight="false" outlineLevel="0" collapsed="false">
      <c r="A43" s="51" t="s">
        <v>211</v>
      </c>
      <c r="B43" s="51" t="s">
        <v>208</v>
      </c>
    </row>
    <row r="44" customFormat="false" ht="15" hidden="false" customHeight="false" outlineLevel="0" collapsed="false">
      <c r="A44" s="50" t="s">
        <v>212</v>
      </c>
      <c r="B44" s="50" t="s">
        <v>213</v>
      </c>
    </row>
    <row r="45" customFormat="false" ht="15" hidden="false" customHeight="false" outlineLevel="0" collapsed="false">
      <c r="A45" s="50" t="s">
        <v>214</v>
      </c>
      <c r="B45" s="50" t="s">
        <v>213</v>
      </c>
    </row>
    <row r="46" customFormat="false" ht="15" hidden="false" customHeight="false" outlineLevel="0" collapsed="false">
      <c r="A46" s="50" t="s">
        <v>215</v>
      </c>
      <c r="B46" s="50" t="s">
        <v>216</v>
      </c>
    </row>
    <row r="47" customFormat="false" ht="15" hidden="false" customHeight="false" outlineLevel="0" collapsed="false">
      <c r="A47" s="50" t="s">
        <v>217</v>
      </c>
      <c r="B47" s="50" t="s">
        <v>216</v>
      </c>
    </row>
    <row r="48" customFormat="false" ht="15" hidden="false" customHeight="false" outlineLevel="0" collapsed="false">
      <c r="A48" s="50" t="s">
        <v>218</v>
      </c>
      <c r="B48" s="50" t="s">
        <v>219</v>
      </c>
    </row>
    <row r="49" customFormat="false" ht="15" hidden="false" customHeight="false" outlineLevel="0" collapsed="false">
      <c r="A49" s="50" t="s">
        <v>220</v>
      </c>
      <c r="B49" s="50" t="s">
        <v>219</v>
      </c>
    </row>
    <row r="50" customFormat="false" ht="15" hidden="false" customHeight="false" outlineLevel="0" collapsed="false">
      <c r="A50" s="50" t="s">
        <v>221</v>
      </c>
      <c r="B50" s="50" t="s">
        <v>219</v>
      </c>
    </row>
    <row r="51" customFormat="false" ht="15" hidden="false" customHeight="false" outlineLevel="0" collapsed="false">
      <c r="A51" s="50" t="s">
        <v>222</v>
      </c>
      <c r="B51" s="50" t="s">
        <v>219</v>
      </c>
    </row>
    <row r="52" customFormat="false" ht="15" hidden="false" customHeight="false" outlineLevel="0" collapsed="false">
      <c r="A52" s="50" t="s">
        <v>223</v>
      </c>
      <c r="B52" s="50" t="s">
        <v>219</v>
      </c>
    </row>
    <row r="53" customFormat="false" ht="15" hidden="false" customHeight="false" outlineLevel="0" collapsed="false">
      <c r="A53" s="50" t="s">
        <v>224</v>
      </c>
      <c r="B53" s="50" t="s">
        <v>219</v>
      </c>
    </row>
    <row r="54" customFormat="false" ht="15" hidden="false" customHeight="false" outlineLevel="0" collapsed="false">
      <c r="A54" s="51" t="s">
        <v>225</v>
      </c>
      <c r="B54" s="51" t="s">
        <v>226</v>
      </c>
    </row>
    <row r="55" customFormat="false" ht="15" hidden="false" customHeight="false" outlineLevel="0" collapsed="false">
      <c r="A55" s="51" t="s">
        <v>227</v>
      </c>
      <c r="B55" s="51" t="s">
        <v>226</v>
      </c>
    </row>
    <row r="56" customFormat="false" ht="15" hidden="false" customHeight="false" outlineLevel="0" collapsed="false">
      <c r="A56" s="51" t="s">
        <v>228</v>
      </c>
      <c r="B56" s="51" t="s">
        <v>226</v>
      </c>
    </row>
    <row r="57" customFormat="false" ht="15" hidden="false" customHeight="false" outlineLevel="0" collapsed="false">
      <c r="A57" s="50" t="s">
        <v>229</v>
      </c>
      <c r="B57" s="50" t="s">
        <v>230</v>
      </c>
    </row>
    <row r="58" customFormat="false" ht="15" hidden="false" customHeight="false" outlineLevel="0" collapsed="false">
      <c r="A58" s="50" t="s">
        <v>231</v>
      </c>
      <c r="B58" s="50" t="s">
        <v>232</v>
      </c>
    </row>
    <row r="59" customFormat="false" ht="15" hidden="false" customHeight="false" outlineLevel="0" collapsed="false">
      <c r="A59" s="50" t="s">
        <v>233</v>
      </c>
      <c r="B59" s="50" t="s">
        <v>234</v>
      </c>
    </row>
    <row r="60" customFormat="false" ht="15" hidden="false" customHeight="false" outlineLevel="0" collapsed="false">
      <c r="A60" s="51" t="s">
        <v>235</v>
      </c>
      <c r="B60" s="51" t="s">
        <v>236</v>
      </c>
    </row>
    <row r="61" customFormat="false" ht="15" hidden="false" customHeight="false" outlineLevel="0" collapsed="false">
      <c r="A61" s="50" t="s">
        <v>237</v>
      </c>
      <c r="B61" s="50" t="s">
        <v>238</v>
      </c>
    </row>
    <row r="62" customFormat="false" ht="15" hidden="false" customHeight="false" outlineLevel="0" collapsed="false">
      <c r="A62" s="50" t="s">
        <v>239</v>
      </c>
      <c r="B62" s="50" t="s">
        <v>238</v>
      </c>
    </row>
    <row r="63" customFormat="false" ht="15" hidden="false" customHeight="false" outlineLevel="0" collapsed="false">
      <c r="A63" s="50" t="s">
        <v>240</v>
      </c>
      <c r="B63" s="50" t="s">
        <v>238</v>
      </c>
    </row>
    <row r="64" customFormat="false" ht="15" hidden="false" customHeight="false" outlineLevel="0" collapsed="false">
      <c r="A64" s="51" t="s">
        <v>241</v>
      </c>
      <c r="B64" s="51" t="s">
        <v>242</v>
      </c>
    </row>
    <row r="65" customFormat="false" ht="15" hidden="false" customHeight="false" outlineLevel="0" collapsed="false">
      <c r="A65" s="51" t="s">
        <v>243</v>
      </c>
      <c r="B65" s="51" t="s">
        <v>242</v>
      </c>
    </row>
    <row r="66" customFormat="false" ht="15" hidden="false" customHeight="false" outlineLevel="0" collapsed="false">
      <c r="A66" s="51" t="s">
        <v>244</v>
      </c>
      <c r="B66" s="51" t="s">
        <v>242</v>
      </c>
    </row>
    <row r="67" customFormat="false" ht="15" hidden="false" customHeight="false" outlineLevel="0" collapsed="false">
      <c r="A67" s="51" t="s">
        <v>245</v>
      </c>
      <c r="B67" s="51" t="s">
        <v>242</v>
      </c>
    </row>
    <row r="68" customFormat="false" ht="15" hidden="false" customHeight="false" outlineLevel="0" collapsed="false">
      <c r="A68" s="50" t="s">
        <v>246</v>
      </c>
      <c r="B68" s="50" t="s">
        <v>247</v>
      </c>
    </row>
    <row r="69" customFormat="false" ht="15" hidden="false" customHeight="false" outlineLevel="0" collapsed="false">
      <c r="A69" s="50" t="s">
        <v>248</v>
      </c>
      <c r="B69" s="50" t="s">
        <v>247</v>
      </c>
    </row>
    <row r="70" customFormat="false" ht="15" hidden="false" customHeight="false" outlineLevel="0" collapsed="false">
      <c r="A70" s="50" t="s">
        <v>249</v>
      </c>
      <c r="B70" s="50" t="s">
        <v>250</v>
      </c>
    </row>
    <row r="71" customFormat="false" ht="15" hidden="false" customHeight="false" outlineLevel="0" collapsed="false">
      <c r="A71" s="50" t="s">
        <v>251</v>
      </c>
      <c r="B71" s="50" t="s">
        <v>250</v>
      </c>
    </row>
    <row r="72" customFormat="false" ht="15" hidden="false" customHeight="false" outlineLevel="0" collapsed="false">
      <c r="A72" s="50" t="s">
        <v>252</v>
      </c>
      <c r="B72" s="50" t="s">
        <v>250</v>
      </c>
    </row>
    <row r="73" customFormat="false" ht="15" hidden="false" customHeight="false" outlineLevel="0" collapsed="false">
      <c r="A73" s="50" t="s">
        <v>253</v>
      </c>
      <c r="B73" s="50" t="s">
        <v>254</v>
      </c>
    </row>
    <row r="74" customFormat="false" ht="15" hidden="false" customHeight="false" outlineLevel="0" collapsed="false">
      <c r="A74" s="51" t="s">
        <v>255</v>
      </c>
      <c r="B74" s="51" t="s">
        <v>256</v>
      </c>
    </row>
    <row r="75" customFormat="false" ht="15" hidden="false" customHeight="false" outlineLevel="0" collapsed="false">
      <c r="A75" s="51" t="s">
        <v>257</v>
      </c>
      <c r="B75" s="51" t="s">
        <v>256</v>
      </c>
    </row>
    <row r="76" customFormat="false" ht="15" hidden="false" customHeight="false" outlineLevel="0" collapsed="false">
      <c r="A76" s="50" t="s">
        <v>258</v>
      </c>
      <c r="B76" s="50" t="s">
        <v>259</v>
      </c>
    </row>
    <row r="77" customFormat="false" ht="15" hidden="false" customHeight="false" outlineLevel="0" collapsed="false">
      <c r="A77" s="50" t="s">
        <v>260</v>
      </c>
      <c r="B77" s="50" t="s">
        <v>259</v>
      </c>
    </row>
    <row r="78" customFormat="false" ht="15" hidden="false" customHeight="false" outlineLevel="0" collapsed="false">
      <c r="A78" s="50" t="s">
        <v>261</v>
      </c>
      <c r="B78" s="50" t="s">
        <v>262</v>
      </c>
    </row>
    <row r="79" customFormat="false" ht="15" hidden="false" customHeight="false" outlineLevel="0" collapsed="false">
      <c r="A79" s="50" t="s">
        <v>263</v>
      </c>
      <c r="B79" s="50" t="s">
        <v>262</v>
      </c>
    </row>
    <row r="80" customFormat="false" ht="15" hidden="false" customHeight="false" outlineLevel="0" collapsed="false">
      <c r="A80" s="50" t="s">
        <v>264</v>
      </c>
      <c r="B80" s="50" t="s">
        <v>265</v>
      </c>
    </row>
    <row r="81" customFormat="false" ht="15" hidden="false" customHeight="false" outlineLevel="0" collapsed="false">
      <c r="A81" s="51" t="s">
        <v>266</v>
      </c>
      <c r="B81" s="51" t="s">
        <v>267</v>
      </c>
    </row>
    <row r="82" customFormat="false" ht="15" hidden="false" customHeight="false" outlineLevel="0" collapsed="false">
      <c r="A82" s="50" t="s">
        <v>268</v>
      </c>
      <c r="B82" s="50" t="s">
        <v>269</v>
      </c>
    </row>
    <row r="83" customFormat="false" ht="15" hidden="false" customHeight="false" outlineLevel="0" collapsed="false">
      <c r="A83" s="50" t="s">
        <v>270</v>
      </c>
      <c r="B83" s="50" t="s">
        <v>271</v>
      </c>
    </row>
    <row r="84" customFormat="false" ht="15" hidden="false" customHeight="false" outlineLevel="0" collapsed="false">
      <c r="A84" s="50" t="s">
        <v>272</v>
      </c>
      <c r="B84" s="50" t="s">
        <v>273</v>
      </c>
    </row>
    <row r="85" customFormat="false" ht="15" hidden="false" customHeight="false" outlineLevel="0" collapsed="false">
      <c r="A85" s="50" t="s">
        <v>274</v>
      </c>
      <c r="B85" s="50" t="s">
        <v>273</v>
      </c>
    </row>
    <row r="86" customFormat="false" ht="15" hidden="false" customHeight="false" outlineLevel="0" collapsed="false">
      <c r="A86" s="51" t="s">
        <v>275</v>
      </c>
      <c r="B86" s="51" t="s">
        <v>276</v>
      </c>
    </row>
    <row r="87" customFormat="false" ht="15" hidden="false" customHeight="false" outlineLevel="0" collapsed="false">
      <c r="A87" s="51" t="s">
        <v>277</v>
      </c>
      <c r="B87" s="51" t="s">
        <v>276</v>
      </c>
    </row>
    <row r="88" customFormat="false" ht="15" hidden="false" customHeight="false" outlineLevel="0" collapsed="false">
      <c r="A88" s="51" t="s">
        <v>278</v>
      </c>
      <c r="B88" s="51" t="s">
        <v>276</v>
      </c>
    </row>
    <row r="89" customFormat="false" ht="15" hidden="false" customHeight="false" outlineLevel="0" collapsed="false">
      <c r="A89" s="51" t="s">
        <v>279</v>
      </c>
      <c r="B89" s="51" t="s">
        <v>276</v>
      </c>
    </row>
    <row r="90" customFormat="false" ht="15" hidden="false" customHeight="false" outlineLevel="0" collapsed="false">
      <c r="A90" s="50" t="s">
        <v>280</v>
      </c>
      <c r="B90" s="50" t="s">
        <v>281</v>
      </c>
    </row>
    <row r="91" customFormat="false" ht="15" hidden="false" customHeight="false" outlineLevel="0" collapsed="false">
      <c r="A91" s="50" t="s">
        <v>282</v>
      </c>
      <c r="B91" s="50" t="s">
        <v>281</v>
      </c>
    </row>
    <row r="92" customFormat="false" ht="15" hidden="false" customHeight="false" outlineLevel="0" collapsed="false">
      <c r="A92" s="50" t="s">
        <v>283</v>
      </c>
      <c r="B92" s="50" t="s">
        <v>281</v>
      </c>
    </row>
    <row r="93" customFormat="false" ht="15" hidden="false" customHeight="false" outlineLevel="0" collapsed="false">
      <c r="A93" s="50" t="s">
        <v>284</v>
      </c>
      <c r="B93" s="50" t="s">
        <v>285</v>
      </c>
    </row>
    <row r="94" customFormat="false" ht="15" hidden="false" customHeight="false" outlineLevel="0" collapsed="false">
      <c r="A94" s="50" t="s">
        <v>286</v>
      </c>
      <c r="B94" s="50" t="s">
        <v>287</v>
      </c>
    </row>
    <row r="95" customFormat="false" ht="15" hidden="false" customHeight="false" outlineLevel="0" collapsed="false">
      <c r="A95" s="50" t="s">
        <v>288</v>
      </c>
      <c r="B95" s="50" t="s">
        <v>287</v>
      </c>
    </row>
    <row r="96" customFormat="false" ht="15" hidden="false" customHeight="false" outlineLevel="0" collapsed="false">
      <c r="A96" s="50" t="s">
        <v>289</v>
      </c>
      <c r="B96" s="50" t="s">
        <v>287</v>
      </c>
    </row>
    <row r="97" customFormat="false" ht="15" hidden="false" customHeight="false" outlineLevel="0" collapsed="false">
      <c r="A97" s="50" t="s">
        <v>290</v>
      </c>
      <c r="B97" s="50" t="s">
        <v>291</v>
      </c>
    </row>
    <row r="98" customFormat="false" ht="15" hidden="false" customHeight="false" outlineLevel="0" collapsed="false">
      <c r="A98" s="50" t="s">
        <v>292</v>
      </c>
      <c r="B98" s="50" t="s">
        <v>293</v>
      </c>
    </row>
    <row r="99" customFormat="false" ht="15" hidden="false" customHeight="false" outlineLevel="0" collapsed="false">
      <c r="A99" s="51" t="s">
        <v>294</v>
      </c>
      <c r="B99" s="51" t="s">
        <v>295</v>
      </c>
    </row>
    <row r="100" customFormat="false" ht="15" hidden="false" customHeight="false" outlineLevel="0" collapsed="false">
      <c r="A100" s="51" t="s">
        <v>296</v>
      </c>
      <c r="B100" s="51" t="s">
        <v>295</v>
      </c>
    </row>
    <row r="101" customFormat="false" ht="15" hidden="false" customHeight="false" outlineLevel="0" collapsed="false">
      <c r="A101" s="50" t="s">
        <v>297</v>
      </c>
      <c r="B101" s="50" t="s">
        <v>298</v>
      </c>
    </row>
    <row r="102" customFormat="false" ht="15" hidden="false" customHeight="false" outlineLevel="0" collapsed="false">
      <c r="A102" s="50" t="s">
        <v>299</v>
      </c>
      <c r="B102" s="50" t="s">
        <v>298</v>
      </c>
    </row>
    <row r="103" customFormat="false" ht="15" hidden="false" customHeight="false" outlineLevel="0" collapsed="false">
      <c r="A103" s="50" t="s">
        <v>300</v>
      </c>
      <c r="B103" s="50" t="s">
        <v>298</v>
      </c>
    </row>
    <row r="104" customFormat="false" ht="15" hidden="false" customHeight="false" outlineLevel="0" collapsed="false">
      <c r="A104" s="50" t="s">
        <v>301</v>
      </c>
      <c r="B104" s="50" t="s">
        <v>302</v>
      </c>
    </row>
    <row r="105" customFormat="false" ht="15" hidden="false" customHeight="false" outlineLevel="0" collapsed="false">
      <c r="A105" s="50" t="s">
        <v>303</v>
      </c>
      <c r="B105" s="50" t="s">
        <v>302</v>
      </c>
    </row>
    <row r="106" customFormat="false" ht="15" hidden="false" customHeight="false" outlineLevel="0" collapsed="false">
      <c r="A106" s="50" t="s">
        <v>304</v>
      </c>
      <c r="B106" s="50" t="s">
        <v>305</v>
      </c>
    </row>
    <row r="107" customFormat="false" ht="15" hidden="false" customHeight="false" outlineLevel="0" collapsed="false">
      <c r="A107" s="51" t="s">
        <v>306</v>
      </c>
      <c r="B107" s="51" t="s">
        <v>307</v>
      </c>
    </row>
    <row r="108" customFormat="false" ht="15" hidden="false" customHeight="false" outlineLevel="0" collapsed="false">
      <c r="A108" s="50" t="s">
        <v>308</v>
      </c>
      <c r="B108" s="50" t="s">
        <v>309</v>
      </c>
    </row>
    <row r="109" customFormat="false" ht="15" hidden="false" customHeight="false" outlineLevel="0" collapsed="false">
      <c r="A109" s="50" t="s">
        <v>310</v>
      </c>
      <c r="B109" s="50" t="s">
        <v>309</v>
      </c>
    </row>
    <row r="110" customFormat="false" ht="15" hidden="false" customHeight="false" outlineLevel="0" collapsed="false">
      <c r="A110" s="50" t="s">
        <v>311</v>
      </c>
      <c r="B110" s="50" t="s">
        <v>309</v>
      </c>
    </row>
    <row r="111" customFormat="false" ht="15" hidden="false" customHeight="false" outlineLevel="0" collapsed="false">
      <c r="A111" s="50" t="s">
        <v>312</v>
      </c>
      <c r="B111" s="50" t="s">
        <v>313</v>
      </c>
    </row>
    <row r="112" customFormat="false" ht="15" hidden="false" customHeight="false" outlineLevel="0" collapsed="false">
      <c r="A112" s="50" t="s">
        <v>314</v>
      </c>
      <c r="B112" s="50" t="s">
        <v>313</v>
      </c>
    </row>
    <row r="113" customFormat="false" ht="15" hidden="false" customHeight="false" outlineLevel="0" collapsed="false">
      <c r="A113" s="50" t="s">
        <v>315</v>
      </c>
      <c r="B113" s="50" t="s">
        <v>313</v>
      </c>
    </row>
    <row r="114" customFormat="false" ht="15" hidden="false" customHeight="false" outlineLevel="0" collapsed="false">
      <c r="A114" s="50" t="s">
        <v>316</v>
      </c>
      <c r="B114" s="50" t="s">
        <v>313</v>
      </c>
    </row>
    <row r="115" customFormat="false" ht="15" hidden="false" customHeight="false" outlineLevel="0" collapsed="false">
      <c r="A115" s="50" t="s">
        <v>317</v>
      </c>
      <c r="B115" s="50" t="s">
        <v>313</v>
      </c>
    </row>
    <row r="116" customFormat="false" ht="15" hidden="false" customHeight="false" outlineLevel="0" collapsed="false">
      <c r="A116" s="50" t="s">
        <v>318</v>
      </c>
      <c r="B116" s="50" t="s">
        <v>319</v>
      </c>
    </row>
    <row r="117" customFormat="false" ht="15" hidden="false" customHeight="false" outlineLevel="0" collapsed="false">
      <c r="A117" s="50" t="s">
        <v>320</v>
      </c>
      <c r="B117" s="50" t="s">
        <v>319</v>
      </c>
    </row>
    <row r="118" customFormat="false" ht="15" hidden="false" customHeight="false" outlineLevel="0" collapsed="false">
      <c r="A118" s="50" t="s">
        <v>321</v>
      </c>
      <c r="B118" s="50" t="s">
        <v>319</v>
      </c>
    </row>
    <row r="119" customFormat="false" ht="15" hidden="false" customHeight="false" outlineLevel="0" collapsed="false">
      <c r="A119" s="50" t="s">
        <v>322</v>
      </c>
      <c r="B119" s="50" t="s">
        <v>319</v>
      </c>
    </row>
    <row r="120" customFormat="false" ht="15" hidden="false" customHeight="false" outlineLevel="0" collapsed="false">
      <c r="A120" s="51" t="s">
        <v>323</v>
      </c>
      <c r="B120" s="51" t="s">
        <v>324</v>
      </c>
    </row>
    <row r="121" customFormat="false" ht="15" hidden="false" customHeight="false" outlineLevel="0" collapsed="false">
      <c r="A121" s="51" t="s">
        <v>325</v>
      </c>
      <c r="B121" s="51" t="s">
        <v>324</v>
      </c>
    </row>
    <row r="122" customFormat="false" ht="15" hidden="false" customHeight="false" outlineLevel="0" collapsed="false">
      <c r="A122" s="50" t="s">
        <v>326</v>
      </c>
      <c r="B122" s="50" t="s">
        <v>327</v>
      </c>
    </row>
    <row r="123" customFormat="false" ht="15" hidden="false" customHeight="false" outlineLevel="0" collapsed="false">
      <c r="A123" s="50" t="s">
        <v>328</v>
      </c>
      <c r="B123" s="50" t="s">
        <v>329</v>
      </c>
    </row>
    <row r="124" customFormat="false" ht="15" hidden="false" customHeight="false" outlineLevel="0" collapsed="false">
      <c r="A124" s="50" t="s">
        <v>330</v>
      </c>
      <c r="B124" s="50" t="s">
        <v>331</v>
      </c>
    </row>
    <row r="125" customFormat="false" ht="15" hidden="false" customHeight="false" outlineLevel="0" collapsed="false">
      <c r="A125" s="50" t="s">
        <v>332</v>
      </c>
      <c r="B125" s="50" t="s">
        <v>333</v>
      </c>
    </row>
    <row r="126" customFormat="false" ht="15" hidden="false" customHeight="false" outlineLevel="0" collapsed="false">
      <c r="A126" s="51" t="s">
        <v>334</v>
      </c>
      <c r="B126" s="51" t="s">
        <v>335</v>
      </c>
    </row>
    <row r="127" customFormat="false" ht="15" hidden="false" customHeight="false" outlineLevel="0" collapsed="false">
      <c r="A127" s="51" t="s">
        <v>336</v>
      </c>
      <c r="B127" s="51" t="s">
        <v>335</v>
      </c>
    </row>
    <row r="128" customFormat="false" ht="15" hidden="false" customHeight="false" outlineLevel="0" collapsed="false">
      <c r="A128" s="51" t="s">
        <v>337</v>
      </c>
      <c r="B128" s="51" t="s">
        <v>335</v>
      </c>
    </row>
    <row r="129" customFormat="false" ht="15" hidden="false" customHeight="false" outlineLevel="0" collapsed="false">
      <c r="A129" s="50" t="s">
        <v>338</v>
      </c>
      <c r="B129" s="50" t="s">
        <v>339</v>
      </c>
    </row>
    <row r="130" customFormat="false" ht="15" hidden="false" customHeight="false" outlineLevel="0" collapsed="false">
      <c r="A130" s="50" t="s">
        <v>340</v>
      </c>
      <c r="B130" s="50" t="s">
        <v>339</v>
      </c>
    </row>
    <row r="131" customFormat="false" ht="15" hidden="false" customHeight="false" outlineLevel="0" collapsed="false">
      <c r="A131" s="50" t="s">
        <v>341</v>
      </c>
      <c r="B131" s="50" t="s">
        <v>339</v>
      </c>
    </row>
    <row r="132" customFormat="false" ht="15" hidden="false" customHeight="false" outlineLevel="0" collapsed="false">
      <c r="A132" s="50" t="s">
        <v>342</v>
      </c>
      <c r="B132" s="50" t="s">
        <v>343</v>
      </c>
    </row>
    <row r="133" customFormat="false" ht="15" hidden="false" customHeight="false" outlineLevel="0" collapsed="false">
      <c r="A133" s="50" t="s">
        <v>344</v>
      </c>
      <c r="B133" s="50" t="s">
        <v>345</v>
      </c>
    </row>
    <row r="134" customFormat="false" ht="15" hidden="false" customHeight="false" outlineLevel="0" collapsed="false">
      <c r="A134" s="50" t="s">
        <v>346</v>
      </c>
      <c r="B134" s="50" t="s">
        <v>345</v>
      </c>
    </row>
    <row r="135" customFormat="false" ht="15" hidden="false" customHeight="false" outlineLevel="0" collapsed="false">
      <c r="A135" s="50" t="s">
        <v>347</v>
      </c>
      <c r="B135" s="50" t="s">
        <v>345</v>
      </c>
    </row>
    <row r="136" customFormat="false" ht="15" hidden="false" customHeight="false" outlineLevel="0" collapsed="false">
      <c r="A136" s="51" t="s">
        <v>348</v>
      </c>
      <c r="B136" s="51" t="s">
        <v>349</v>
      </c>
    </row>
    <row r="137" customFormat="false" ht="15" hidden="false" customHeight="false" outlineLevel="0" collapsed="false">
      <c r="A137" s="51" t="s">
        <v>350</v>
      </c>
      <c r="B137" s="51" t="s">
        <v>349</v>
      </c>
    </row>
    <row r="138" customFormat="false" ht="15" hidden="false" customHeight="false" outlineLevel="0" collapsed="false">
      <c r="A138" s="50" t="s">
        <v>351</v>
      </c>
      <c r="B138" s="50" t="s">
        <v>352</v>
      </c>
    </row>
    <row r="139" customFormat="false" ht="15" hidden="false" customHeight="false" outlineLevel="0" collapsed="false">
      <c r="A139" s="50" t="s">
        <v>353</v>
      </c>
      <c r="B139" s="50" t="s">
        <v>354</v>
      </c>
    </row>
    <row r="140" customFormat="false" ht="15" hidden="false" customHeight="false" outlineLevel="0" collapsed="false">
      <c r="A140" s="51" t="s">
        <v>355</v>
      </c>
      <c r="B140" s="51" t="s">
        <v>356</v>
      </c>
    </row>
    <row r="141" customFormat="false" ht="15" hidden="false" customHeight="false" outlineLevel="0" collapsed="false">
      <c r="A141" s="50" t="s">
        <v>357</v>
      </c>
      <c r="B141" s="50" t="s">
        <v>358</v>
      </c>
    </row>
    <row r="142" customFormat="false" ht="15" hidden="false" customHeight="false" outlineLevel="0" collapsed="false">
      <c r="A142" s="50" t="s">
        <v>359</v>
      </c>
      <c r="B142" s="50" t="s">
        <v>358</v>
      </c>
    </row>
    <row r="143" customFormat="false" ht="15" hidden="false" customHeight="false" outlineLevel="0" collapsed="false">
      <c r="A143" s="50" t="s">
        <v>360</v>
      </c>
      <c r="B143" s="50" t="s">
        <v>361</v>
      </c>
    </row>
    <row r="144" customFormat="false" ht="15" hidden="false" customHeight="false" outlineLevel="0" collapsed="false">
      <c r="A144" s="50" t="s">
        <v>362</v>
      </c>
      <c r="B144" s="50" t="s">
        <v>361</v>
      </c>
    </row>
    <row r="145" customFormat="false" ht="15" hidden="false" customHeight="false" outlineLevel="0" collapsed="false">
      <c r="A145" s="50" t="s">
        <v>363</v>
      </c>
      <c r="B145" s="50" t="s">
        <v>364</v>
      </c>
    </row>
    <row r="146" customFormat="false" ht="15" hidden="false" customHeight="false" outlineLevel="0" collapsed="false">
      <c r="A146" s="50" t="s">
        <v>365</v>
      </c>
      <c r="B146" s="50" t="s">
        <v>366</v>
      </c>
    </row>
    <row r="147" customFormat="false" ht="15" hidden="false" customHeight="false" outlineLevel="0" collapsed="false">
      <c r="A147" s="50" t="s">
        <v>367</v>
      </c>
      <c r="B147" s="50" t="s">
        <v>366</v>
      </c>
    </row>
    <row r="148" customFormat="false" ht="15" hidden="false" customHeight="false" outlineLevel="0" collapsed="false">
      <c r="A148" s="50" t="s">
        <v>368</v>
      </c>
      <c r="B148" s="50" t="s">
        <v>369</v>
      </c>
    </row>
    <row r="149" customFormat="false" ht="15" hidden="false" customHeight="false" outlineLevel="0" collapsed="false">
      <c r="A149" s="50" t="s">
        <v>370</v>
      </c>
      <c r="B149" s="50" t="s">
        <v>371</v>
      </c>
    </row>
    <row r="150" customFormat="false" ht="15" hidden="false" customHeight="false" outlineLevel="0" collapsed="false">
      <c r="A150" s="50" t="s">
        <v>372</v>
      </c>
      <c r="B150" s="50" t="s">
        <v>373</v>
      </c>
    </row>
    <row r="151" customFormat="false" ht="15" hidden="false" customHeight="false" outlineLevel="0" collapsed="false">
      <c r="A151" s="51" t="s">
        <v>374</v>
      </c>
      <c r="B151" s="51" t="s">
        <v>375</v>
      </c>
    </row>
    <row r="152" customFormat="false" ht="15" hidden="false" customHeight="false" outlineLevel="0" collapsed="false">
      <c r="A152" s="51" t="s">
        <v>376</v>
      </c>
      <c r="B152" s="51" t="s">
        <v>375</v>
      </c>
    </row>
    <row r="153" customFormat="false" ht="15" hidden="false" customHeight="false" outlineLevel="0" collapsed="false">
      <c r="A153" s="51" t="s">
        <v>377</v>
      </c>
      <c r="B153" s="51" t="s">
        <v>375</v>
      </c>
    </row>
    <row r="154" customFormat="false" ht="15" hidden="false" customHeight="false" outlineLevel="0" collapsed="false">
      <c r="A154" s="50" t="s">
        <v>378</v>
      </c>
      <c r="B154" s="50" t="s">
        <v>379</v>
      </c>
    </row>
    <row r="155" customFormat="false" ht="15" hidden="false" customHeight="false" outlineLevel="0" collapsed="false">
      <c r="A155" s="50" t="s">
        <v>380</v>
      </c>
      <c r="B155" s="50" t="s">
        <v>379</v>
      </c>
    </row>
    <row r="156" customFormat="false" ht="15" hidden="false" customHeight="false" outlineLevel="0" collapsed="false">
      <c r="A156" s="50" t="s">
        <v>381</v>
      </c>
      <c r="B156" s="50" t="s">
        <v>379</v>
      </c>
    </row>
    <row r="157" customFormat="false" ht="15" hidden="false" customHeight="false" outlineLevel="0" collapsed="false">
      <c r="A157" s="50" t="s">
        <v>382</v>
      </c>
      <c r="B157" s="50" t="s">
        <v>383</v>
      </c>
    </row>
    <row r="158" customFormat="false" ht="15" hidden="false" customHeight="false" outlineLevel="0" collapsed="false">
      <c r="A158" s="50" t="s">
        <v>384</v>
      </c>
      <c r="B158" s="50" t="s">
        <v>385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0" activeCellId="0" sqref="B30"/>
    </sheetView>
  </sheetViews>
  <sheetFormatPr defaultColWidth="9.1484375" defaultRowHeight="18.75" zeroHeight="false" outlineLevelRow="0" outlineLevelCol="0"/>
  <cols>
    <col collapsed="false" customWidth="true" hidden="false" outlineLevel="0" max="1" min="1" style="52" width="33.71"/>
    <col collapsed="false" customWidth="true" hidden="false" outlineLevel="0" max="8" min="2" style="52" width="8.71"/>
    <col collapsed="false" customWidth="true" hidden="false" outlineLevel="0" max="9" min="9" style="53" width="35.57"/>
    <col collapsed="false" customWidth="true" hidden="false" outlineLevel="0" max="16" min="10" style="52" width="8.71"/>
    <col collapsed="false" customWidth="true" hidden="false" outlineLevel="0" max="17" min="17" style="53" width="40.71"/>
    <col collapsed="false" customWidth="true" hidden="false" outlineLevel="0" max="18" min="18" style="52" width="28.71"/>
    <col collapsed="false" customWidth="false" hidden="false" outlineLevel="0" max="16384" min="19" style="52" width="9.14"/>
  </cols>
  <sheetData>
    <row r="1" s="55" customFormat="true" ht="37.5" hidden="false" customHeight="false" outlineLevel="0" collapsed="false">
      <c r="A1" s="54" t="s">
        <v>386</v>
      </c>
      <c r="B1" s="54" t="s">
        <v>387</v>
      </c>
      <c r="C1" s="54" t="s">
        <v>388</v>
      </c>
      <c r="D1" s="54" t="s">
        <v>389</v>
      </c>
      <c r="E1" s="54" t="s">
        <v>390</v>
      </c>
      <c r="F1" s="54" t="s">
        <v>387</v>
      </c>
      <c r="G1" s="54" t="s">
        <v>388</v>
      </c>
      <c r="H1" s="54" t="s">
        <v>389</v>
      </c>
      <c r="I1" s="54" t="s">
        <v>391</v>
      </c>
      <c r="J1" s="54" t="s">
        <v>387</v>
      </c>
      <c r="K1" s="54" t="s">
        <v>388</v>
      </c>
      <c r="L1" s="54" t="s">
        <v>389</v>
      </c>
      <c r="M1" s="54" t="s">
        <v>390</v>
      </c>
      <c r="N1" s="54" t="s">
        <v>387</v>
      </c>
      <c r="O1" s="54" t="s">
        <v>388</v>
      </c>
      <c r="P1" s="54" t="s">
        <v>389</v>
      </c>
      <c r="Q1" s="54" t="s">
        <v>392</v>
      </c>
      <c r="R1" s="54" t="s">
        <v>393</v>
      </c>
    </row>
    <row r="2" s="55" customFormat="true" ht="56.25" hidden="false" customHeight="false" outlineLevel="0" collapsed="false">
      <c r="A2" s="56" t="s">
        <v>394</v>
      </c>
      <c r="B2" s="57" t="s">
        <v>395</v>
      </c>
      <c r="C2" s="57" t="s">
        <v>396</v>
      </c>
      <c r="D2" s="57" t="n">
        <v>16</v>
      </c>
      <c r="E2" s="57" t="s">
        <v>397</v>
      </c>
      <c r="F2" s="57" t="s">
        <v>398</v>
      </c>
      <c r="G2" s="57" t="s">
        <v>399</v>
      </c>
      <c r="H2" s="57" t="n">
        <v>16</v>
      </c>
      <c r="I2" s="56" t="str">
        <f aca="false">CONCATENATE("« ",B2," »  ",C2, " 20",D2," г.  (приказ о зачислении № ",E2," от « ",F2," » ",G2," 20",H2," г.)")</f>
        <v>« 01 »  сентября 2016 г.  (приказ о зачислении № 962-08 от « 19 » августа 2016 г.)</v>
      </c>
      <c r="J2" s="57" t="s">
        <v>400</v>
      </c>
      <c r="K2" s="57" t="s">
        <v>401</v>
      </c>
      <c r="L2" s="57" t="s">
        <v>402</v>
      </c>
      <c r="M2" s="57" t="s">
        <v>403</v>
      </c>
      <c r="N2" s="57" t="s">
        <v>400</v>
      </c>
      <c r="O2" s="57" t="s">
        <v>401</v>
      </c>
      <c r="P2" s="57" t="s">
        <v>402</v>
      </c>
      <c r="Q2" s="56" t="str">
        <f aca="false">CONCATENATE("« ",J2," »  ",K2, " 20",L2," г.  (приказ об отчислении № ",M2," от « ",N2," » ",O2," 20",P2," г.)")</f>
        <v>« Дата »  Месяц 20Год г.  (приказ об отчислении № ??? от « Дата » Месяц 20Год г.)</v>
      </c>
      <c r="R2" s="56" t="s">
        <v>404</v>
      </c>
    </row>
    <row r="3" s="55" customFormat="true" ht="75" hidden="false" customHeight="false" outlineLevel="0" collapsed="false">
      <c r="A3" s="58" t="s">
        <v>405</v>
      </c>
      <c r="B3" s="59" t="s">
        <v>406</v>
      </c>
      <c r="C3" s="59" t="s">
        <v>407</v>
      </c>
      <c r="D3" s="59" t="n">
        <v>16</v>
      </c>
      <c r="E3" s="59" t="s">
        <v>408</v>
      </c>
      <c r="F3" s="59" t="s">
        <v>406</v>
      </c>
      <c r="G3" s="59" t="s">
        <v>407</v>
      </c>
      <c r="H3" s="59" t="n">
        <v>16</v>
      </c>
      <c r="I3" s="60" t="str">
        <f aca="false">CONCATENATE("« ",B3," »  ",C3, " 20",D3," г.  (приказ о зачислении № ",E3," от « ",F3," » ",G3," 20",H3," г.)")</f>
        <v>« 31 »  октября 2016 г.  (приказ о зачислении № 1402-08 от « 31 » октября 2016 г.)</v>
      </c>
      <c r="J3" s="59" t="s">
        <v>400</v>
      </c>
      <c r="K3" s="59" t="s">
        <v>401</v>
      </c>
      <c r="L3" s="59" t="s">
        <v>402</v>
      </c>
      <c r="M3" s="59" t="s">
        <v>403</v>
      </c>
      <c r="N3" s="59" t="s">
        <v>400</v>
      </c>
      <c r="O3" s="59" t="s">
        <v>401</v>
      </c>
      <c r="P3" s="59" t="s">
        <v>402</v>
      </c>
      <c r="Q3" s="60" t="str">
        <f aca="false">CONCATENATE("« ",J3," »  ",K3, " 20",L3," г.  (приказ об отчислении № ",M3," от « ",N3," » ",O3," 20",P3," г.)")</f>
        <v>« Дата »  Месяц 20Год г.  (приказ об отчислении № ??? от « Дата » Месяц 20Год г.)</v>
      </c>
      <c r="R3" s="61" t="s">
        <v>409</v>
      </c>
    </row>
    <row r="4" s="55" customFormat="true" ht="56.25" hidden="false" customHeight="false" outlineLevel="0" collapsed="false">
      <c r="A4" s="56" t="s">
        <v>410</v>
      </c>
      <c r="B4" s="57" t="s">
        <v>395</v>
      </c>
      <c r="C4" s="57" t="s">
        <v>396</v>
      </c>
      <c r="D4" s="57" t="n">
        <v>16</v>
      </c>
      <c r="E4" s="57" t="s">
        <v>397</v>
      </c>
      <c r="F4" s="57" t="s">
        <v>398</v>
      </c>
      <c r="G4" s="57" t="s">
        <v>399</v>
      </c>
      <c r="H4" s="57" t="n">
        <v>16</v>
      </c>
      <c r="I4" s="56" t="str">
        <f aca="false">CONCATENATE("« ",B4," »  ",C4, " 20",D4," г.  (приказ о зачислении № ",E4," от « ",F4," » ",G4," 20",H4," г.)")</f>
        <v>« 01 »  сентября 2016 г.  (приказ о зачислении № 962-08 от « 19 » августа 2016 г.)</v>
      </c>
      <c r="J4" s="57" t="s">
        <v>400</v>
      </c>
      <c r="K4" s="57" t="s">
        <v>401</v>
      </c>
      <c r="L4" s="57" t="s">
        <v>402</v>
      </c>
      <c r="M4" s="57" t="s">
        <v>403</v>
      </c>
      <c r="N4" s="57" t="s">
        <v>400</v>
      </c>
      <c r="O4" s="57" t="s">
        <v>401</v>
      </c>
      <c r="P4" s="57" t="s">
        <v>402</v>
      </c>
      <c r="Q4" s="56" t="str">
        <f aca="false">CONCATENATE("« ",J4," »  ",K4, " 20",L4," г.  (приказ об отчислении № ",M4," от « ",N4," » ",O4," 20",P4," г.)")</f>
        <v>« Дата »  Месяц 20Год г.  (приказ об отчислении № ??? от « Дата » Месяц 20Год г.)</v>
      </c>
      <c r="R4" s="56" t="s">
        <v>411</v>
      </c>
    </row>
    <row r="5" s="55" customFormat="true" ht="56.25" hidden="false" customHeight="false" outlineLevel="0" collapsed="false">
      <c r="A5" s="56" t="s">
        <v>412</v>
      </c>
      <c r="B5" s="57" t="s">
        <v>395</v>
      </c>
      <c r="C5" s="57" t="s">
        <v>396</v>
      </c>
      <c r="D5" s="57" t="n">
        <v>16</v>
      </c>
      <c r="E5" s="57" t="s">
        <v>397</v>
      </c>
      <c r="F5" s="57" t="s">
        <v>398</v>
      </c>
      <c r="G5" s="57" t="s">
        <v>399</v>
      </c>
      <c r="H5" s="57" t="n">
        <v>16</v>
      </c>
      <c r="I5" s="56" t="str">
        <f aca="false">CONCATENATE("« ",B5," »  ",C5, " 20",D5," г.  (приказ о зачислении № ",E5," от « ",F5," » ",G5," 20",H5," г.)")</f>
        <v>« 01 »  сентября 2016 г.  (приказ о зачислении № 962-08 от « 19 » августа 2016 г.)</v>
      </c>
      <c r="J5" s="57" t="s">
        <v>400</v>
      </c>
      <c r="K5" s="57" t="s">
        <v>401</v>
      </c>
      <c r="L5" s="57" t="s">
        <v>402</v>
      </c>
      <c r="M5" s="57" t="s">
        <v>403</v>
      </c>
      <c r="N5" s="57" t="s">
        <v>400</v>
      </c>
      <c r="O5" s="57" t="s">
        <v>401</v>
      </c>
      <c r="P5" s="57" t="s">
        <v>402</v>
      </c>
      <c r="Q5" s="56" t="str">
        <f aca="false">CONCATENATE("« ",J5," »  ",K5, " 20",L5," г.  (приказ об отчислении № ",M5," от « ",N5," » ",O5," 20",P5," г.)")</f>
        <v>« Дата »  Месяц 20Год г.  (приказ об отчислении № ??? от « Дата » Месяц 20Год г.)</v>
      </c>
      <c r="R5" s="56" t="s">
        <v>413</v>
      </c>
    </row>
    <row r="6" s="55" customFormat="true" ht="56.25" hidden="false" customHeight="false" outlineLevel="0" collapsed="false">
      <c r="A6" s="56" t="s">
        <v>414</v>
      </c>
      <c r="B6" s="57" t="s">
        <v>395</v>
      </c>
      <c r="C6" s="57" t="s">
        <v>396</v>
      </c>
      <c r="D6" s="57" t="n">
        <v>16</v>
      </c>
      <c r="E6" s="57" t="s">
        <v>397</v>
      </c>
      <c r="F6" s="57" t="s">
        <v>398</v>
      </c>
      <c r="G6" s="57" t="s">
        <v>399</v>
      </c>
      <c r="H6" s="57" t="n">
        <v>16</v>
      </c>
      <c r="I6" s="56" t="str">
        <f aca="false">CONCATENATE("« ",B6," »  ",C6, " 20",D6," г.  (приказ о зачислении № ",E6," от « ",F6," » ",G6," 20",H6," г.)")</f>
        <v>« 01 »  сентября 2016 г.  (приказ о зачислении № 962-08 от « 19 » августа 2016 г.)</v>
      </c>
      <c r="J6" s="57" t="s">
        <v>400</v>
      </c>
      <c r="K6" s="57" t="s">
        <v>401</v>
      </c>
      <c r="L6" s="57" t="s">
        <v>402</v>
      </c>
      <c r="M6" s="57" t="s">
        <v>403</v>
      </c>
      <c r="N6" s="57" t="s">
        <v>400</v>
      </c>
      <c r="O6" s="57" t="s">
        <v>401</v>
      </c>
      <c r="P6" s="57" t="s">
        <v>402</v>
      </c>
      <c r="Q6" s="56" t="str">
        <f aca="false">CONCATENATE("« ",J6," »  ",K6, " 20",L6," г.  (приказ об отчислении № ",M6," от « ",N6," » ",O6," 20",P6," г.)")</f>
        <v>« Дата »  Месяц 20Год г.  (приказ об отчислении № ??? от « Дата » Месяц 20Год г.)</v>
      </c>
      <c r="R6" s="56" t="s">
        <v>415</v>
      </c>
    </row>
    <row r="7" s="55" customFormat="true" ht="56.25" hidden="false" customHeight="false" outlineLevel="0" collapsed="false">
      <c r="A7" s="56" t="s">
        <v>416</v>
      </c>
      <c r="B7" s="57" t="s">
        <v>395</v>
      </c>
      <c r="C7" s="57" t="s">
        <v>396</v>
      </c>
      <c r="D7" s="57" t="n">
        <v>16</v>
      </c>
      <c r="E7" s="57" t="s">
        <v>397</v>
      </c>
      <c r="F7" s="57" t="s">
        <v>398</v>
      </c>
      <c r="G7" s="57" t="s">
        <v>399</v>
      </c>
      <c r="H7" s="57" t="n">
        <v>16</v>
      </c>
      <c r="I7" s="56" t="str">
        <f aca="false">CONCATENATE("« ",B7," »  ",C7, " 20",D7," г.  (приказ о зачислении № ",E7," от « ",F7," » ",G7," 20",H7," г.)")</f>
        <v>« 01 »  сентября 2016 г.  (приказ о зачислении № 962-08 от « 19 » августа 2016 г.)</v>
      </c>
      <c r="J7" s="57" t="s">
        <v>400</v>
      </c>
      <c r="K7" s="57" t="s">
        <v>401</v>
      </c>
      <c r="L7" s="57" t="s">
        <v>402</v>
      </c>
      <c r="M7" s="57" t="s">
        <v>403</v>
      </c>
      <c r="N7" s="57" t="s">
        <v>400</v>
      </c>
      <c r="O7" s="57" t="s">
        <v>401</v>
      </c>
      <c r="P7" s="57" t="s">
        <v>402</v>
      </c>
      <c r="Q7" s="56" t="str">
        <f aca="false">CONCATENATE("« ",J7," »  ",K7, " 20",L7," г.  (приказ об отчислении № ",M7," от « ",N7," » ",O7," 20",P7," г.)")</f>
        <v>« Дата »  Месяц 20Год г.  (приказ об отчислении № ??? от « Дата » Месяц 20Год г.)</v>
      </c>
      <c r="R7" s="56" t="s">
        <v>417</v>
      </c>
    </row>
    <row r="8" s="55" customFormat="true" ht="56.25" hidden="false" customHeight="false" outlineLevel="0" collapsed="false">
      <c r="A8" s="56" t="s">
        <v>418</v>
      </c>
      <c r="B8" s="57" t="s">
        <v>395</v>
      </c>
      <c r="C8" s="57" t="s">
        <v>396</v>
      </c>
      <c r="D8" s="57" t="n">
        <v>16</v>
      </c>
      <c r="E8" s="57" t="s">
        <v>397</v>
      </c>
      <c r="F8" s="57" t="s">
        <v>398</v>
      </c>
      <c r="G8" s="57" t="s">
        <v>399</v>
      </c>
      <c r="H8" s="57" t="n">
        <v>16</v>
      </c>
      <c r="I8" s="56" t="str">
        <f aca="false">CONCATENATE("« ",B8," »  ",C8, " 20",D8," г.  (приказ о зачислении № ",E8," от « ",F8," » ",G8," 20",H8," г.)")</f>
        <v>« 01 »  сентября 2016 г.  (приказ о зачислении № 962-08 от « 19 » августа 2016 г.)</v>
      </c>
      <c r="J8" s="57" t="s">
        <v>400</v>
      </c>
      <c r="K8" s="57" t="s">
        <v>401</v>
      </c>
      <c r="L8" s="57" t="s">
        <v>402</v>
      </c>
      <c r="M8" s="57" t="s">
        <v>403</v>
      </c>
      <c r="N8" s="57" t="s">
        <v>400</v>
      </c>
      <c r="O8" s="57" t="s">
        <v>401</v>
      </c>
      <c r="P8" s="57" t="s">
        <v>402</v>
      </c>
      <c r="Q8" s="56" t="str">
        <f aca="false">CONCATENATE("« ",J8," »  ",K8, " 20",L8," г.  (приказ об отчислении № ",M8," от « ",N8," » ",O8," 20",P8," г.)")</f>
        <v>« Дата »  Месяц 20Год г.  (приказ об отчислении № ??? от « Дата » Месяц 20Год г.)</v>
      </c>
      <c r="R8" s="56" t="s">
        <v>419</v>
      </c>
    </row>
    <row r="9" s="55" customFormat="true" ht="56.25" hidden="false" customHeight="false" outlineLevel="0" collapsed="false">
      <c r="A9" s="56" t="s">
        <v>420</v>
      </c>
      <c r="B9" s="57" t="s">
        <v>395</v>
      </c>
      <c r="C9" s="57" t="s">
        <v>396</v>
      </c>
      <c r="D9" s="57" t="n">
        <v>16</v>
      </c>
      <c r="E9" s="57" t="s">
        <v>397</v>
      </c>
      <c r="F9" s="57" t="s">
        <v>398</v>
      </c>
      <c r="G9" s="57" t="s">
        <v>399</v>
      </c>
      <c r="H9" s="57" t="n">
        <v>16</v>
      </c>
      <c r="I9" s="56" t="str">
        <f aca="false">CONCATENATE("« ",B9," »  ",C9, " 20",D9," г.  (приказ о зачислении № ",E9," от « ",F9," » ",G9," 20",H9," г.)")</f>
        <v>« 01 »  сентября 2016 г.  (приказ о зачислении № 962-08 от « 19 » августа 2016 г.)</v>
      </c>
      <c r="J9" s="57" t="s">
        <v>400</v>
      </c>
      <c r="K9" s="57" t="s">
        <v>401</v>
      </c>
      <c r="L9" s="57" t="s">
        <v>402</v>
      </c>
      <c r="M9" s="57" t="s">
        <v>403</v>
      </c>
      <c r="N9" s="57" t="s">
        <v>400</v>
      </c>
      <c r="O9" s="57" t="s">
        <v>401</v>
      </c>
      <c r="P9" s="57" t="s">
        <v>402</v>
      </c>
      <c r="Q9" s="56" t="str">
        <f aca="false">CONCATENATE("« ",J9," »  ",K9, " 20",L9," г.  (приказ об отчислении № ",M9," от « ",N9," » ",O9," 20",P9," г.)")</f>
        <v>« Дата »  Месяц 20Год г.  (приказ об отчислении № ??? от « Дата » Месяц 20Год г.)</v>
      </c>
      <c r="R9" s="56" t="s">
        <v>421</v>
      </c>
    </row>
    <row r="10" s="55" customFormat="true" ht="56.25" hidden="false" customHeight="false" outlineLevel="0" collapsed="false">
      <c r="A10" s="58" t="s">
        <v>422</v>
      </c>
      <c r="B10" s="59" t="s">
        <v>395</v>
      </c>
      <c r="C10" s="59" t="s">
        <v>396</v>
      </c>
      <c r="D10" s="59" t="n">
        <v>16</v>
      </c>
      <c r="E10" s="59" t="s">
        <v>397</v>
      </c>
      <c r="F10" s="59" t="s">
        <v>398</v>
      </c>
      <c r="G10" s="59" t="s">
        <v>399</v>
      </c>
      <c r="H10" s="59" t="n">
        <v>16</v>
      </c>
      <c r="I10" s="60" t="str">
        <f aca="false">CONCATENATE("« ",B10," »  ",C10, " 20",D10," г.  (приказ о зачислении № ",E10," от « ",F10," » ",G10," 20",H10," г.)")</f>
        <v>« 01 »  сентября 2016 г.  (приказ о зачислении № 962-08 от « 19 » августа 2016 г.)</v>
      </c>
      <c r="J10" s="59" t="s">
        <v>400</v>
      </c>
      <c r="K10" s="59" t="s">
        <v>401</v>
      </c>
      <c r="L10" s="59" t="s">
        <v>402</v>
      </c>
      <c r="M10" s="59" t="s">
        <v>403</v>
      </c>
      <c r="N10" s="59" t="s">
        <v>400</v>
      </c>
      <c r="O10" s="59" t="s">
        <v>401</v>
      </c>
      <c r="P10" s="59" t="s">
        <v>402</v>
      </c>
      <c r="Q10" s="60" t="str">
        <f aca="false">CONCATENATE("« ",J10," »  ",K10, " 20",L10," г.  (приказ об отчислении № ",M10," от « ",N10," » ",O10," 20",P10," г.)")</f>
        <v>« Дата »  Месяц 20Год г.  (приказ об отчислении № ??? от « Дата » Месяц 20Год г.)</v>
      </c>
      <c r="R10" s="61" t="s">
        <v>423</v>
      </c>
    </row>
    <row r="11" s="55" customFormat="true" ht="75" hidden="false" customHeight="false" outlineLevel="0" collapsed="false">
      <c r="A11" s="56" t="s">
        <v>424</v>
      </c>
      <c r="B11" s="57" t="s">
        <v>395</v>
      </c>
      <c r="C11" s="57" t="s">
        <v>396</v>
      </c>
      <c r="D11" s="57" t="n">
        <v>15</v>
      </c>
      <c r="E11" s="57" t="s">
        <v>425</v>
      </c>
      <c r="F11" s="57" t="s">
        <v>426</v>
      </c>
      <c r="G11" s="57" t="s">
        <v>399</v>
      </c>
      <c r="H11" s="57" t="n">
        <v>15</v>
      </c>
      <c r="I11" s="56" t="str">
        <f aca="false">CONCATENATE("« ",B11," »  ",C11, " 20",D11," г.  (приказ о зачислении № ",E11," от « ",F11," » ",G11," 20",H11," г.)")</f>
        <v>« 01 »  сентября 2015 г.  (приказ о зачислении № 1016-08 от « 18 » августа 2015 г.)</v>
      </c>
      <c r="J11" s="57" t="s">
        <v>400</v>
      </c>
      <c r="K11" s="57" t="s">
        <v>401</v>
      </c>
      <c r="L11" s="57" t="s">
        <v>402</v>
      </c>
      <c r="M11" s="57" t="s">
        <v>403</v>
      </c>
      <c r="N11" s="57" t="s">
        <v>400</v>
      </c>
      <c r="O11" s="57" t="s">
        <v>401</v>
      </c>
      <c r="P11" s="57" t="s">
        <v>402</v>
      </c>
      <c r="Q11" s="56" t="str">
        <f aca="false">CONCATENATE("« ",J11," »  ",K11, " 20",L11," г.  (приказ об отчислении № ",M11," от « ",N11," » ",O11," 20",P11," г.)")</f>
        <v>« Дата »  Месяц 20Год г.  (приказ об отчислении № ??? от « Дата » Месяц 20Год г.)</v>
      </c>
      <c r="R11" s="56" t="s">
        <v>427</v>
      </c>
    </row>
    <row r="12" s="55" customFormat="true" ht="56.25" hidden="false" customHeight="false" outlineLevel="0" collapsed="false">
      <c r="A12" s="56" t="s">
        <v>428</v>
      </c>
      <c r="B12" s="57" t="s">
        <v>395</v>
      </c>
      <c r="C12" s="57" t="s">
        <v>396</v>
      </c>
      <c r="D12" s="57" t="n">
        <v>16</v>
      </c>
      <c r="E12" s="57" t="s">
        <v>397</v>
      </c>
      <c r="F12" s="57" t="s">
        <v>398</v>
      </c>
      <c r="G12" s="57" t="s">
        <v>399</v>
      </c>
      <c r="H12" s="57" t="n">
        <v>16</v>
      </c>
      <c r="I12" s="56" t="str">
        <f aca="false">CONCATENATE("« ",B12," »  ",C12, " 20",D12," г.  (приказ о зачислении № ",E12," от « ",F12," » ",G12," 20",H12," г.)")</f>
        <v>« 01 »  сентября 2016 г.  (приказ о зачислении № 962-08 от « 19 » августа 2016 г.)</v>
      </c>
      <c r="J12" s="57" t="s">
        <v>400</v>
      </c>
      <c r="K12" s="57" t="s">
        <v>401</v>
      </c>
      <c r="L12" s="57" t="s">
        <v>402</v>
      </c>
      <c r="M12" s="57" t="s">
        <v>403</v>
      </c>
      <c r="N12" s="57" t="s">
        <v>400</v>
      </c>
      <c r="O12" s="57" t="s">
        <v>401</v>
      </c>
      <c r="P12" s="57" t="s">
        <v>402</v>
      </c>
      <c r="Q12" s="56" t="str">
        <f aca="false">CONCATENATE("« ",J12," »  ",K12, " 20",L12," г.  (приказ об отчислении № ",M12," от « ",N12," » ",O12," 20",P12," г.)")</f>
        <v>« Дата »  Месяц 20Год г.  (приказ об отчислении № ??? от « Дата » Месяц 20Год г.)</v>
      </c>
      <c r="R12" s="56" t="s">
        <v>429</v>
      </c>
    </row>
    <row r="13" s="55" customFormat="true" ht="56.25" hidden="false" customHeight="false" outlineLevel="0" collapsed="false">
      <c r="A13" s="56" t="s">
        <v>430</v>
      </c>
      <c r="B13" s="57" t="s">
        <v>395</v>
      </c>
      <c r="C13" s="57" t="s">
        <v>396</v>
      </c>
      <c r="D13" s="57" t="n">
        <v>16</v>
      </c>
      <c r="E13" s="57" t="s">
        <v>397</v>
      </c>
      <c r="F13" s="57" t="s">
        <v>398</v>
      </c>
      <c r="G13" s="57" t="s">
        <v>399</v>
      </c>
      <c r="H13" s="57" t="n">
        <v>16</v>
      </c>
      <c r="I13" s="56" t="str">
        <f aca="false">CONCATENATE("« ",B13," »  ",C13, " 20",D13," г.  (приказ о зачислении № ",E13," от « ",F13," » ",G13," 20",H13," г.)")</f>
        <v>« 01 »  сентября 2016 г.  (приказ о зачислении № 962-08 от « 19 » августа 2016 г.)</v>
      </c>
      <c r="J13" s="57" t="s">
        <v>400</v>
      </c>
      <c r="K13" s="57" t="s">
        <v>401</v>
      </c>
      <c r="L13" s="57" t="s">
        <v>402</v>
      </c>
      <c r="M13" s="57" t="s">
        <v>403</v>
      </c>
      <c r="N13" s="57" t="s">
        <v>400</v>
      </c>
      <c r="O13" s="57" t="s">
        <v>401</v>
      </c>
      <c r="P13" s="57" t="s">
        <v>402</v>
      </c>
      <c r="Q13" s="56" t="str">
        <f aca="false">CONCATENATE("« ",J13," »  ",K13, " 20",L13," г.  (приказ об отчислении № ",M13," от « ",N13," » ",O13," 20",P13," г.)")</f>
        <v>« Дата »  Месяц 20Год г.  (приказ об отчислении № ??? от « Дата » Месяц 20Год г.)</v>
      </c>
      <c r="R13" s="56" t="s">
        <v>431</v>
      </c>
    </row>
    <row r="14" s="55" customFormat="true" ht="56.25" hidden="false" customHeight="false" outlineLevel="0" collapsed="false">
      <c r="A14" s="56" t="s">
        <v>432</v>
      </c>
      <c r="B14" s="57" t="s">
        <v>395</v>
      </c>
      <c r="C14" s="57" t="s">
        <v>396</v>
      </c>
      <c r="D14" s="57" t="n">
        <v>16</v>
      </c>
      <c r="E14" s="57" t="s">
        <v>397</v>
      </c>
      <c r="F14" s="57" t="s">
        <v>398</v>
      </c>
      <c r="G14" s="57" t="s">
        <v>399</v>
      </c>
      <c r="H14" s="57" t="n">
        <v>16</v>
      </c>
      <c r="I14" s="56" t="str">
        <f aca="false">CONCATENATE("« ",B14," »  ",C14, " 20",D14," г.  (приказ о зачислении № ",E14," от « ",F14," » ",G14," 20",H14," г.)")</f>
        <v>« 01 »  сентября 2016 г.  (приказ о зачислении № 962-08 от « 19 » августа 2016 г.)</v>
      </c>
      <c r="J14" s="57" t="s">
        <v>400</v>
      </c>
      <c r="K14" s="57" t="s">
        <v>401</v>
      </c>
      <c r="L14" s="57" t="s">
        <v>402</v>
      </c>
      <c r="M14" s="57" t="s">
        <v>403</v>
      </c>
      <c r="N14" s="57" t="s">
        <v>400</v>
      </c>
      <c r="O14" s="57" t="s">
        <v>401</v>
      </c>
      <c r="P14" s="57" t="s">
        <v>402</v>
      </c>
      <c r="Q14" s="56" t="str">
        <f aca="false">CONCATENATE("« ",J14," »  ",K14, " 20",L14," г.  (приказ об отчислении № ",M14," от « ",N14," » ",O14," 20",P14," г.)")</f>
        <v>« Дата »  Месяц 20Год г.  (приказ об отчислении № ??? от « Дата » Месяц 20Год г.)</v>
      </c>
      <c r="R14" s="56" t="s">
        <v>433</v>
      </c>
    </row>
    <row r="15" s="55" customFormat="true" ht="56.25" hidden="false" customHeight="false" outlineLevel="0" collapsed="false">
      <c r="A15" s="56" t="s">
        <v>434</v>
      </c>
      <c r="B15" s="57" t="s">
        <v>395</v>
      </c>
      <c r="C15" s="57" t="s">
        <v>396</v>
      </c>
      <c r="D15" s="57" t="n">
        <v>16</v>
      </c>
      <c r="E15" s="57" t="s">
        <v>397</v>
      </c>
      <c r="F15" s="57" t="s">
        <v>398</v>
      </c>
      <c r="G15" s="57" t="s">
        <v>399</v>
      </c>
      <c r="H15" s="57" t="n">
        <v>16</v>
      </c>
      <c r="I15" s="56" t="str">
        <f aca="false">CONCATENATE("« ",B15," »  ",C15, " 20",D15," г.  (приказ о зачислении № ",E15," от « ",F15," » ",G15," 20",H15," г.)")</f>
        <v>« 01 »  сентября 2016 г.  (приказ о зачислении № 962-08 от « 19 » августа 2016 г.)</v>
      </c>
      <c r="J15" s="57" t="s">
        <v>400</v>
      </c>
      <c r="K15" s="57" t="s">
        <v>401</v>
      </c>
      <c r="L15" s="57" t="s">
        <v>402</v>
      </c>
      <c r="M15" s="57" t="s">
        <v>403</v>
      </c>
      <c r="N15" s="57" t="s">
        <v>400</v>
      </c>
      <c r="O15" s="57" t="s">
        <v>401</v>
      </c>
      <c r="P15" s="57" t="s">
        <v>402</v>
      </c>
      <c r="Q15" s="56" t="str">
        <f aca="false">CONCATENATE("« ",J15," »  ",K15, " 20",L15," г.  (приказ об отчислении № ",M15," от « ",N15," » ",O15," 20",P15," г.)")</f>
        <v>« Дата »  Месяц 20Год г.  (приказ об отчислении № ??? от « Дата » Месяц 20Год г.)</v>
      </c>
      <c r="R15" s="56" t="s">
        <v>435</v>
      </c>
    </row>
    <row r="16" s="55" customFormat="true" ht="56.25" hidden="false" customHeight="false" outlineLevel="0" collapsed="false">
      <c r="A16" s="56" t="s">
        <v>436</v>
      </c>
      <c r="B16" s="57" t="s">
        <v>395</v>
      </c>
      <c r="C16" s="57" t="s">
        <v>396</v>
      </c>
      <c r="D16" s="57" t="n">
        <v>16</v>
      </c>
      <c r="E16" s="57" t="s">
        <v>397</v>
      </c>
      <c r="F16" s="57" t="s">
        <v>398</v>
      </c>
      <c r="G16" s="57" t="s">
        <v>399</v>
      </c>
      <c r="H16" s="57" t="n">
        <v>16</v>
      </c>
      <c r="I16" s="56" t="str">
        <f aca="false">CONCATENATE("« ",B16," »  ",C16, " 20",D16," г.  (приказ о зачислении № ",E16," от « ",F16," » ",G16," 20",H16," г.)")</f>
        <v>« 01 »  сентября 2016 г.  (приказ о зачислении № 962-08 от « 19 » августа 2016 г.)</v>
      </c>
      <c r="J16" s="57" t="s">
        <v>400</v>
      </c>
      <c r="K16" s="57" t="s">
        <v>401</v>
      </c>
      <c r="L16" s="57" t="s">
        <v>402</v>
      </c>
      <c r="M16" s="57" t="s">
        <v>403</v>
      </c>
      <c r="N16" s="57" t="s">
        <v>400</v>
      </c>
      <c r="O16" s="57" t="s">
        <v>401</v>
      </c>
      <c r="P16" s="57" t="s">
        <v>402</v>
      </c>
      <c r="Q16" s="56" t="str">
        <f aca="false">CONCATENATE("« ",J16," »  ",K16, " 20",L16," г.  (приказ об отчислении № ",M16," от « ",N16," » ",O16," 20",P16," г.)")</f>
        <v>« Дата »  Месяц 20Год г.  (приказ об отчислении № ??? от « Дата » Месяц 20Год г.)</v>
      </c>
      <c r="R16" s="56" t="s">
        <v>437</v>
      </c>
    </row>
    <row r="17" s="55" customFormat="true" ht="56.25" hidden="false" customHeight="false" outlineLevel="0" collapsed="false">
      <c r="A17" s="56" t="s">
        <v>438</v>
      </c>
      <c r="B17" s="57" t="s">
        <v>395</v>
      </c>
      <c r="C17" s="57" t="s">
        <v>396</v>
      </c>
      <c r="D17" s="57" t="n">
        <v>16</v>
      </c>
      <c r="E17" s="57" t="s">
        <v>397</v>
      </c>
      <c r="F17" s="57" t="s">
        <v>398</v>
      </c>
      <c r="G17" s="57" t="s">
        <v>399</v>
      </c>
      <c r="H17" s="57" t="n">
        <v>16</v>
      </c>
      <c r="I17" s="56" t="str">
        <f aca="false">CONCATENATE("« ",B17," »  ",C17, " 20",D17," г.  (приказ о зачислении № ",E17," от « ",F17," » ",G17," 20",H17," г.)")</f>
        <v>« 01 »  сентября 2016 г.  (приказ о зачислении № 962-08 от « 19 » августа 2016 г.)</v>
      </c>
      <c r="J17" s="57" t="s">
        <v>400</v>
      </c>
      <c r="K17" s="57" t="s">
        <v>401</v>
      </c>
      <c r="L17" s="57" t="s">
        <v>402</v>
      </c>
      <c r="M17" s="57" t="s">
        <v>403</v>
      </c>
      <c r="N17" s="57" t="s">
        <v>400</v>
      </c>
      <c r="O17" s="57" t="s">
        <v>401</v>
      </c>
      <c r="P17" s="57" t="s">
        <v>402</v>
      </c>
      <c r="Q17" s="56" t="str">
        <f aca="false">CONCATENATE("« ",J17," »  ",K17, " 20",L17," г.  (приказ об отчислении № ",M17," от « ",N17," » ",O17," 20",P17," г.)")</f>
        <v>« Дата »  Месяц 20Год г.  (приказ об отчислении № ??? от « Дата » Месяц 20Год г.)</v>
      </c>
      <c r="R17" s="56" t="s">
        <v>439</v>
      </c>
    </row>
    <row r="18" s="55" customFormat="true" ht="56.25" hidden="false" customHeight="false" outlineLevel="0" collapsed="false">
      <c r="A18" s="56" t="s">
        <v>440</v>
      </c>
      <c r="B18" s="57" t="s">
        <v>395</v>
      </c>
      <c r="C18" s="57" t="s">
        <v>396</v>
      </c>
      <c r="D18" s="57" t="n">
        <v>16</v>
      </c>
      <c r="E18" s="57" t="s">
        <v>397</v>
      </c>
      <c r="F18" s="57" t="s">
        <v>398</v>
      </c>
      <c r="G18" s="57" t="s">
        <v>399</v>
      </c>
      <c r="H18" s="57" t="n">
        <v>16</v>
      </c>
      <c r="I18" s="56" t="str">
        <f aca="false">CONCATENATE("« ",B18," »  ",C18, " 20",D18," г.  (приказ о зачислении № ",E18," от « ",F18," » ",G18," 20",H18," г.)")</f>
        <v>« 01 »  сентября 2016 г.  (приказ о зачислении № 962-08 от « 19 » августа 2016 г.)</v>
      </c>
      <c r="J18" s="57" t="s">
        <v>400</v>
      </c>
      <c r="K18" s="57" t="s">
        <v>401</v>
      </c>
      <c r="L18" s="57" t="s">
        <v>402</v>
      </c>
      <c r="M18" s="57" t="s">
        <v>403</v>
      </c>
      <c r="N18" s="57" t="s">
        <v>400</v>
      </c>
      <c r="O18" s="57" t="s">
        <v>401</v>
      </c>
      <c r="P18" s="57" t="s">
        <v>402</v>
      </c>
      <c r="Q18" s="56" t="str">
        <f aca="false">CONCATENATE("« ",J18," »  ",K18, " 20",L18," г.  (приказ об отчислении № ",M18," от « ",N18," » ",O18," 20",P18," г.)")</f>
        <v>« Дата »  Месяц 20Год г.  (приказ об отчислении № ??? от « Дата » Месяц 20Год г.)</v>
      </c>
      <c r="R18" s="56" t="s">
        <v>441</v>
      </c>
    </row>
    <row r="19" s="55" customFormat="true" ht="56.25" hidden="false" customHeight="false" outlineLevel="0" collapsed="false">
      <c r="A19" s="56" t="s">
        <v>442</v>
      </c>
      <c r="B19" s="57" t="s">
        <v>395</v>
      </c>
      <c r="C19" s="57" t="s">
        <v>396</v>
      </c>
      <c r="D19" s="57" t="n">
        <v>16</v>
      </c>
      <c r="E19" s="57" t="s">
        <v>443</v>
      </c>
      <c r="F19" s="57" t="s">
        <v>444</v>
      </c>
      <c r="G19" s="57" t="s">
        <v>399</v>
      </c>
      <c r="H19" s="57" t="n">
        <v>16</v>
      </c>
      <c r="I19" s="56" t="str">
        <f aca="false">CONCATENATE("« ",B19," »  ",C19, " 20",D19," г.  (приказ о зачислении № ",E19," от « ",F19," » ",G19," 20",H19," г.)")</f>
        <v>« 01 »  сентября 2016 г.  (приказ о зачислении № 987-08 от « 26 » августа 2016 г.)</v>
      </c>
      <c r="J19" s="57" t="s">
        <v>400</v>
      </c>
      <c r="K19" s="57" t="s">
        <v>401</v>
      </c>
      <c r="L19" s="57" t="s">
        <v>402</v>
      </c>
      <c r="M19" s="57" t="s">
        <v>403</v>
      </c>
      <c r="N19" s="57" t="s">
        <v>400</v>
      </c>
      <c r="O19" s="57" t="s">
        <v>401</v>
      </c>
      <c r="P19" s="57" t="s">
        <v>402</v>
      </c>
      <c r="Q19" s="56" t="str">
        <f aca="false">CONCATENATE("« ",J19," »  ",K19, " 20",L19," г.  (приказ об отчислении № ",M19," от « ",N19," » ",O19," 20",P19," г.)")</f>
        <v>« Дата »  Месяц 20Год г.  (приказ об отчислении № ??? от « Дата » Месяц 20Год г.)</v>
      </c>
      <c r="R19" s="56" t="s">
        <v>445</v>
      </c>
    </row>
    <row r="20" s="55" customFormat="true" ht="75" hidden="false" customHeight="false" outlineLevel="0" collapsed="false">
      <c r="A20" s="58" t="s">
        <v>446</v>
      </c>
      <c r="B20" s="59" t="s">
        <v>447</v>
      </c>
      <c r="C20" s="59" t="s">
        <v>407</v>
      </c>
      <c r="D20" s="59" t="n">
        <v>16</v>
      </c>
      <c r="E20" s="59" t="s">
        <v>448</v>
      </c>
      <c r="F20" s="59" t="s">
        <v>447</v>
      </c>
      <c r="G20" s="59" t="s">
        <v>407</v>
      </c>
      <c r="H20" s="59" t="n">
        <v>16</v>
      </c>
      <c r="I20" s="60" t="str">
        <f aca="false">CONCATENATE("« ",B20," »  ",C20, " 20",D20," г.  (приказ о зачислении № ",E20," от « ",F20," » ",G20," 20",H20," г.)")</f>
        <v>« 04 »  октября 2016 г.  (приказ о зачислении № 1270-08 от « 04 » октября 2016 г.)</v>
      </c>
      <c r="J20" s="59" t="s">
        <v>400</v>
      </c>
      <c r="K20" s="59" t="s">
        <v>401</v>
      </c>
      <c r="L20" s="59" t="s">
        <v>402</v>
      </c>
      <c r="M20" s="59" t="s">
        <v>403</v>
      </c>
      <c r="N20" s="59" t="s">
        <v>400</v>
      </c>
      <c r="O20" s="59" t="s">
        <v>401</v>
      </c>
      <c r="P20" s="59" t="s">
        <v>402</v>
      </c>
      <c r="Q20" s="60" t="str">
        <f aca="false">CONCATENATE("« ",J20," »  ",K20, " 20",L20," г.  (приказ об отчислении № ",M20," от « ",N20," » ",O20," 20",P20," г.)")</f>
        <v>« Дата »  Месяц 20Год г.  (приказ об отчислении № ??? от « Дата » Месяц 20Год г.)</v>
      </c>
      <c r="R20" s="61" t="s">
        <v>449</v>
      </c>
    </row>
    <row r="21" s="55" customFormat="true" ht="56.25" hidden="false" customHeight="false" outlineLevel="0" collapsed="false">
      <c r="A21" s="56" t="s">
        <v>450</v>
      </c>
      <c r="B21" s="57" t="s">
        <v>395</v>
      </c>
      <c r="C21" s="57" t="s">
        <v>396</v>
      </c>
      <c r="D21" s="57" t="n">
        <v>16</v>
      </c>
      <c r="E21" s="57" t="s">
        <v>451</v>
      </c>
      <c r="F21" s="57" t="s">
        <v>398</v>
      </c>
      <c r="G21" s="57" t="s">
        <v>399</v>
      </c>
      <c r="H21" s="57" t="n">
        <v>16</v>
      </c>
      <c r="I21" s="56" t="str">
        <f aca="false">CONCATENATE("« ",B21," »  ",C21, " 20",D21," г.  (приказ о зачислении № ",E21," от « ",F21," » ",G21," 20",H21," г.)")</f>
        <v>« 01 »  сентября 2016 г.  (приказ о зачислении № 963-08 от « 19 » августа 2016 г.)</v>
      </c>
      <c r="J21" s="57" t="s">
        <v>400</v>
      </c>
      <c r="K21" s="57" t="s">
        <v>401</v>
      </c>
      <c r="L21" s="57" t="s">
        <v>402</v>
      </c>
      <c r="M21" s="57" t="s">
        <v>403</v>
      </c>
      <c r="N21" s="57" t="s">
        <v>400</v>
      </c>
      <c r="O21" s="57" t="s">
        <v>401</v>
      </c>
      <c r="P21" s="57" t="s">
        <v>402</v>
      </c>
      <c r="Q21" s="56" t="str">
        <f aca="false">CONCATENATE("« ",J21," »  ",K21, " 20",L21," г.  (приказ об отчислении № ",M21," от « ",N21," » ",O21," 20",P21," г.)")</f>
        <v>« Дата »  Месяц 20Год г.  (приказ об отчислении № ??? от « Дата » Месяц 20Год г.)</v>
      </c>
      <c r="R21" s="56" t="s">
        <v>452</v>
      </c>
    </row>
    <row r="22" s="55" customFormat="true" ht="56.25" hidden="false" customHeight="false" outlineLevel="0" collapsed="false">
      <c r="A22" s="56" t="s">
        <v>453</v>
      </c>
      <c r="B22" s="57" t="s">
        <v>395</v>
      </c>
      <c r="C22" s="57" t="s">
        <v>396</v>
      </c>
      <c r="D22" s="57" t="n">
        <v>16</v>
      </c>
      <c r="E22" s="57" t="s">
        <v>451</v>
      </c>
      <c r="F22" s="57" t="s">
        <v>398</v>
      </c>
      <c r="G22" s="57" t="s">
        <v>399</v>
      </c>
      <c r="H22" s="57" t="n">
        <v>16</v>
      </c>
      <c r="I22" s="56" t="str">
        <f aca="false">CONCATENATE("« ",B22," »  ",C22, " 20",D22," г.  (приказ о зачислении № ",E22," от « ",F22," » ",G22," 20",H22," г.)")</f>
        <v>« 01 »  сентября 2016 г.  (приказ о зачислении № 963-08 от « 19 » августа 2016 г.)</v>
      </c>
      <c r="J22" s="57" t="s">
        <v>400</v>
      </c>
      <c r="K22" s="57" t="s">
        <v>401</v>
      </c>
      <c r="L22" s="57" t="s">
        <v>402</v>
      </c>
      <c r="M22" s="57" t="s">
        <v>403</v>
      </c>
      <c r="N22" s="57" t="s">
        <v>400</v>
      </c>
      <c r="O22" s="57" t="s">
        <v>401</v>
      </c>
      <c r="P22" s="57" t="s">
        <v>402</v>
      </c>
      <c r="Q22" s="56" t="str">
        <f aca="false">CONCATENATE("« ",J22," »  ",K22, " 20",L22," г.  (приказ об отчислении № ",M22," от « ",N22," » ",O22," 20",P22," г.)")</f>
        <v>« Дата »  Месяц 20Год г.  (приказ об отчислении № ??? от « Дата » Месяц 20Год г.)</v>
      </c>
      <c r="R22" s="56" t="s">
        <v>454</v>
      </c>
    </row>
    <row r="23" s="55" customFormat="true" ht="56.25" hidden="false" customHeight="false" outlineLevel="0" collapsed="false">
      <c r="A23" s="56" t="s">
        <v>455</v>
      </c>
      <c r="B23" s="57" t="s">
        <v>395</v>
      </c>
      <c r="C23" s="57" t="s">
        <v>396</v>
      </c>
      <c r="D23" s="57" t="n">
        <v>16</v>
      </c>
      <c r="E23" s="57" t="s">
        <v>456</v>
      </c>
      <c r="F23" s="57" t="s">
        <v>398</v>
      </c>
      <c r="G23" s="57" t="s">
        <v>399</v>
      </c>
      <c r="H23" s="57" t="n">
        <v>16</v>
      </c>
      <c r="I23" s="56" t="str">
        <f aca="false">CONCATENATE("« ",B23," »  ",C23, " 20",D23," г.  (приказ о зачислении № ",E23," от « ",F23," » ",G23," 20",H23," г.)")</f>
        <v>« 01 »  сентября 2016 г.  (приказ о зачислении № 964-08 от « 19 » августа 2016 г.)</v>
      </c>
      <c r="J23" s="57" t="s">
        <v>457</v>
      </c>
      <c r="K23" s="57" t="s">
        <v>458</v>
      </c>
      <c r="L23" s="57" t="n">
        <v>20</v>
      </c>
      <c r="M23" s="57" t="s">
        <v>459</v>
      </c>
      <c r="N23" s="57" t="s">
        <v>457</v>
      </c>
      <c r="O23" s="57" t="s">
        <v>458</v>
      </c>
      <c r="P23" s="57" t="n">
        <v>20</v>
      </c>
      <c r="Q23" s="56" t="str">
        <f aca="false">CONCATENATE("« ",J23," »  ",K23, " 20",L23," г.  (приказ об отчислении № ",M23," от « ",N23," » ",O23," 20",P23," г.)")</f>
        <v>« 07 »  июля 2020 г.  (приказ об отчислении № 122/7-08 от « 07 » июля 2020 г.)</v>
      </c>
      <c r="R23" s="56" t="s">
        <v>460</v>
      </c>
    </row>
    <row r="24" s="55" customFormat="true" ht="75" hidden="false" customHeight="false" outlineLevel="0" collapsed="false">
      <c r="A24" s="56" t="s">
        <v>461</v>
      </c>
      <c r="B24" s="57" t="s">
        <v>395</v>
      </c>
      <c r="C24" s="57" t="s">
        <v>396</v>
      </c>
      <c r="D24" s="57" t="n">
        <v>15</v>
      </c>
      <c r="E24" s="57" t="s">
        <v>462</v>
      </c>
      <c r="F24" s="57" t="s">
        <v>463</v>
      </c>
      <c r="G24" s="57" t="s">
        <v>399</v>
      </c>
      <c r="H24" s="57" t="n">
        <v>15</v>
      </c>
      <c r="I24" s="56" t="str">
        <f aca="false">CONCATENATE("« ",B24," »  ",C24, " 20",D24," г.  (приказ о зачислении № ",E24," от « ",F24," » ",G24," 20",H24," г.)")</f>
        <v>« 01 »  сентября 2015 г.  (приказ о зачислении № 1023-08 от « 21 » августа 2015 г.)</v>
      </c>
      <c r="J24" s="57" t="s">
        <v>457</v>
      </c>
      <c r="K24" s="57" t="s">
        <v>458</v>
      </c>
      <c r="L24" s="57" t="n">
        <v>20</v>
      </c>
      <c r="M24" s="57" t="s">
        <v>459</v>
      </c>
      <c r="N24" s="57" t="s">
        <v>457</v>
      </c>
      <c r="O24" s="57" t="s">
        <v>458</v>
      </c>
      <c r="P24" s="57" t="n">
        <v>20</v>
      </c>
      <c r="Q24" s="56" t="str">
        <f aca="false">CONCATENATE("« ",J24," »  ",K24, " 20",L24," г.  (приказ об отчислении № ",M24," от « ",N24," » ",O24," 20",P24," г.)")</f>
        <v>« 07 »  июля 2020 г.  (приказ об отчислении № 122/7-08 от « 07 » июля 2020 г.)</v>
      </c>
      <c r="R24" s="56" t="s">
        <v>464</v>
      </c>
    </row>
    <row r="25" s="55" customFormat="true" ht="75" hidden="false" customHeight="false" outlineLevel="0" collapsed="false">
      <c r="A25" s="58" t="s">
        <v>465</v>
      </c>
      <c r="B25" s="59" t="s">
        <v>466</v>
      </c>
      <c r="C25" s="59" t="s">
        <v>407</v>
      </c>
      <c r="D25" s="59" t="n">
        <v>17</v>
      </c>
      <c r="E25" s="59" t="s">
        <v>467</v>
      </c>
      <c r="F25" s="59" t="s">
        <v>466</v>
      </c>
      <c r="G25" s="59" t="s">
        <v>407</v>
      </c>
      <c r="H25" s="59" t="n">
        <v>17</v>
      </c>
      <c r="I25" s="60" t="str">
        <f aca="false">CONCATENATE("« ",B25," »  ",C25, " 20",D25," г.  (приказ о зачислении № ",E25," от « ",F25," » ",G25," 20",H25," г.)")</f>
        <v>« 27 »  октября 2017 г.  (приказ о зачислении № 1286-08 от « 27 » октября 2017 г.)</v>
      </c>
      <c r="J25" s="59" t="s">
        <v>400</v>
      </c>
      <c r="K25" s="59" t="s">
        <v>401</v>
      </c>
      <c r="L25" s="59" t="s">
        <v>402</v>
      </c>
      <c r="M25" s="59" t="s">
        <v>403</v>
      </c>
      <c r="N25" s="59" t="s">
        <v>400</v>
      </c>
      <c r="O25" s="59" t="s">
        <v>401</v>
      </c>
      <c r="P25" s="59" t="s">
        <v>402</v>
      </c>
      <c r="Q25" s="60" t="str">
        <f aca="false">CONCATENATE("« ",J25," »  ",K25, " 20",L25," г.  (приказ об отчислении № ",M25," от « ",N25," » ",O25," 20",P25," г.)")</f>
        <v>« Дата »  Месяц 20Год г.  (приказ об отчислении № ??? от « Дата » Месяц 20Год г.)</v>
      </c>
      <c r="R25" s="61" t="s">
        <v>468</v>
      </c>
    </row>
    <row r="26" s="55" customFormat="true" ht="56.25" hidden="false" customHeight="false" outlineLevel="0" collapsed="false">
      <c r="A26" s="56" t="s">
        <v>469</v>
      </c>
      <c r="B26" s="57" t="s">
        <v>395</v>
      </c>
      <c r="C26" s="57" t="s">
        <v>396</v>
      </c>
      <c r="D26" s="57" t="n">
        <v>17</v>
      </c>
      <c r="E26" s="57" t="s">
        <v>470</v>
      </c>
      <c r="F26" s="57" t="s">
        <v>406</v>
      </c>
      <c r="G26" s="57" t="s">
        <v>399</v>
      </c>
      <c r="H26" s="57" t="n">
        <v>17</v>
      </c>
      <c r="I26" s="56" t="str">
        <f aca="false">CONCATENATE("« ",B26," »  ",C26, " 20",D26," г.  (приказ о зачислении № ",E26," от « ",F26," » ",G26," 20",H26," г.)")</f>
        <v>« 01 »  сентября 2017 г.  (приказ о зачислении № 895-08 от « 31 » августа 2017 г.)</v>
      </c>
      <c r="J26" s="57" t="s">
        <v>400</v>
      </c>
      <c r="K26" s="57" t="s">
        <v>401</v>
      </c>
      <c r="L26" s="57" t="s">
        <v>402</v>
      </c>
      <c r="M26" s="57" t="s">
        <v>403</v>
      </c>
      <c r="N26" s="57" t="s">
        <v>400</v>
      </c>
      <c r="O26" s="57" t="s">
        <v>401</v>
      </c>
      <c r="P26" s="57" t="s">
        <v>402</v>
      </c>
      <c r="Q26" s="56" t="str">
        <f aca="false">CONCATENATE("« ",J26," »  ",K26, " 20",L26," г.  (приказ об отчислении № ",M26," от « ",N26," » ",O26," 20",P26," г.)")</f>
        <v>« Дата »  Месяц 20Год г.  (приказ об отчислении № ??? от « Дата » Месяц 20Год г.)</v>
      </c>
      <c r="R26" s="56" t="s">
        <v>471</v>
      </c>
    </row>
    <row r="27" s="55" customFormat="true" ht="56.25" hidden="false" customHeight="false" outlineLevel="0" collapsed="false">
      <c r="A27" s="56" t="s">
        <v>472</v>
      </c>
      <c r="B27" s="57" t="s">
        <v>395</v>
      </c>
      <c r="C27" s="57" t="s">
        <v>396</v>
      </c>
      <c r="D27" s="57" t="n">
        <v>17</v>
      </c>
      <c r="E27" s="57" t="s">
        <v>470</v>
      </c>
      <c r="F27" s="57" t="s">
        <v>406</v>
      </c>
      <c r="G27" s="57" t="s">
        <v>399</v>
      </c>
      <c r="H27" s="57" t="n">
        <v>17</v>
      </c>
      <c r="I27" s="56" t="str">
        <f aca="false">CONCATENATE("« ",B27," »  ",C27, " 20",D27," г.  (приказ о зачислении № ",E27," от « ",F27," » ",G27," 20",H27," г.)")</f>
        <v>« 01 »  сентября 2017 г.  (приказ о зачислении № 895-08 от « 31 » августа 2017 г.)</v>
      </c>
      <c r="J27" s="57" t="s">
        <v>400</v>
      </c>
      <c r="K27" s="57" t="s">
        <v>401</v>
      </c>
      <c r="L27" s="57" t="s">
        <v>402</v>
      </c>
      <c r="M27" s="57" t="s">
        <v>403</v>
      </c>
      <c r="N27" s="57" t="s">
        <v>400</v>
      </c>
      <c r="O27" s="57" t="s">
        <v>401</v>
      </c>
      <c r="P27" s="57" t="s">
        <v>402</v>
      </c>
      <c r="Q27" s="56" t="str">
        <f aca="false">CONCATENATE("« ",J27," »  ",K27, " 20",L27," г.  (приказ об отчислении № ",M27," от « ",N27," » ",O27," 20",P27," г.)")</f>
        <v>« Дата »  Месяц 20Год г.  (приказ об отчислении № ??? от « Дата » Месяц 20Год г.)</v>
      </c>
      <c r="R27" s="56" t="s">
        <v>473</v>
      </c>
    </row>
    <row r="28" s="55" customFormat="true" ht="56.25" hidden="false" customHeight="false" outlineLevel="0" collapsed="false">
      <c r="A28" s="56" t="s">
        <v>474</v>
      </c>
      <c r="B28" s="57" t="s">
        <v>395</v>
      </c>
      <c r="C28" s="57" t="s">
        <v>396</v>
      </c>
      <c r="D28" s="57" t="n">
        <v>17</v>
      </c>
      <c r="E28" s="57" t="s">
        <v>470</v>
      </c>
      <c r="F28" s="57" t="s">
        <v>406</v>
      </c>
      <c r="G28" s="57" t="s">
        <v>399</v>
      </c>
      <c r="H28" s="57" t="n">
        <v>17</v>
      </c>
      <c r="I28" s="56" t="str">
        <f aca="false">CONCATENATE("« ",B28," »  ",C28, " 20",D28," г.  (приказ о зачислении № ",E28," от « ",F28," » ",G28," 20",H28," г.)")</f>
        <v>« 01 »  сентября 2017 г.  (приказ о зачислении № 895-08 от « 31 » августа 2017 г.)</v>
      </c>
      <c r="J28" s="57" t="s">
        <v>400</v>
      </c>
      <c r="K28" s="57" t="s">
        <v>401</v>
      </c>
      <c r="L28" s="57" t="s">
        <v>402</v>
      </c>
      <c r="M28" s="57" t="s">
        <v>403</v>
      </c>
      <c r="N28" s="57" t="s">
        <v>400</v>
      </c>
      <c r="O28" s="57" t="s">
        <v>401</v>
      </c>
      <c r="P28" s="57" t="s">
        <v>402</v>
      </c>
      <c r="Q28" s="56" t="str">
        <f aca="false">CONCATENATE("« ",J28," »  ",K28, " 20",L28," г.  (приказ об отчислении № ",M28," от « ",N28," » ",O28," 20",P28," г.)")</f>
        <v>« Дата »  Месяц 20Год г.  (приказ об отчислении № ??? от « Дата » Месяц 20Год г.)</v>
      </c>
      <c r="R28" s="56" t="s">
        <v>475</v>
      </c>
    </row>
    <row r="33" s="55" customFormat="true" ht="56.25" hidden="false" customHeight="false" outlineLevel="0" collapsed="false">
      <c r="A33" s="56" t="s">
        <v>476</v>
      </c>
      <c r="B33" s="57" t="s">
        <v>400</v>
      </c>
      <c r="C33" s="57" t="s">
        <v>401</v>
      </c>
      <c r="D33" s="57" t="s">
        <v>402</v>
      </c>
      <c r="E33" s="57" t="s">
        <v>403</v>
      </c>
      <c r="F33" s="57" t="s">
        <v>400</v>
      </c>
      <c r="G33" s="57" t="s">
        <v>401</v>
      </c>
      <c r="H33" s="57" t="s">
        <v>402</v>
      </c>
      <c r="I33" s="56" t="str">
        <f aca="false">CONCATENATE("« ",B33," »  ",C33, " 20",D33," г.  (приказ о зачислении № ",E33," от « ",F33," » ",G33," 20",H33," г.)")</f>
        <v>« Дата »  Месяц 20Год г.  (приказ о зачислении № ??? от « Дата » Месяц 20Год г.)</v>
      </c>
      <c r="J33" s="57" t="s">
        <v>400</v>
      </c>
      <c r="K33" s="57" t="s">
        <v>401</v>
      </c>
      <c r="L33" s="57" t="s">
        <v>402</v>
      </c>
      <c r="M33" s="57" t="s">
        <v>403</v>
      </c>
      <c r="N33" s="57" t="s">
        <v>400</v>
      </c>
      <c r="O33" s="57" t="s">
        <v>401</v>
      </c>
      <c r="P33" s="57" t="s">
        <v>402</v>
      </c>
      <c r="Q33" s="56" t="str">
        <f aca="false">CONCATENATE("« ",J33," »  ",K33, " 20",L33," г.  (приказ об отчислении № ",M33," от « ",N33," » ",O33," 20",P33," г.)")</f>
        <v>« Дата »  Месяц 20Год г.  (приказ об отчислении № ??? от « Дата » Месяц 20Год г.)</v>
      </c>
      <c r="R33" s="56" t="s">
        <v>477</v>
      </c>
    </row>
    <row r="34" s="55" customFormat="true" ht="56.25" hidden="false" customHeight="false" outlineLevel="0" collapsed="false">
      <c r="A34" s="56" t="s">
        <v>478</v>
      </c>
      <c r="B34" s="57" t="s">
        <v>400</v>
      </c>
      <c r="C34" s="57" t="s">
        <v>401</v>
      </c>
      <c r="D34" s="57" t="s">
        <v>402</v>
      </c>
      <c r="E34" s="57" t="s">
        <v>403</v>
      </c>
      <c r="F34" s="57" t="s">
        <v>400</v>
      </c>
      <c r="G34" s="57" t="s">
        <v>401</v>
      </c>
      <c r="H34" s="57" t="s">
        <v>402</v>
      </c>
      <c r="I34" s="56" t="str">
        <f aca="false">CONCATENATE("« ",B34," »  ",C34, " 20",D34," г.  (приказ о зачислении № ",E34," от « ",F34," » ",G34," 20",H34," г.)")</f>
        <v>« Дата »  Месяц 20Год г.  (приказ о зачислении № ??? от « Дата » Месяц 20Год г.)</v>
      </c>
      <c r="J34" s="57" t="s">
        <v>400</v>
      </c>
      <c r="K34" s="57" t="s">
        <v>401</v>
      </c>
      <c r="L34" s="57" t="s">
        <v>402</v>
      </c>
      <c r="M34" s="57" t="s">
        <v>403</v>
      </c>
      <c r="N34" s="57" t="s">
        <v>400</v>
      </c>
      <c r="O34" s="57" t="s">
        <v>401</v>
      </c>
      <c r="P34" s="57" t="s">
        <v>402</v>
      </c>
      <c r="Q34" s="56" t="str">
        <f aca="false">CONCATENATE("« ",J34," »  ",K34, " 20",L34," г.  (приказ об отчислении № ",M34," от « ",N34," » ",O34," 20",P34," г.)")</f>
        <v>« Дата »  Месяц 20Год г.  (приказ об отчислении № ??? от « Дата » Месяц 20Год г.)</v>
      </c>
      <c r="R34" s="56" t="s">
        <v>479</v>
      </c>
    </row>
    <row r="35" s="55" customFormat="true" ht="56.25" hidden="false" customHeight="false" outlineLevel="0" collapsed="false">
      <c r="A35" s="56" t="s">
        <v>480</v>
      </c>
      <c r="B35" s="57" t="s">
        <v>400</v>
      </c>
      <c r="C35" s="57" t="s">
        <v>401</v>
      </c>
      <c r="D35" s="57" t="s">
        <v>402</v>
      </c>
      <c r="E35" s="57" t="s">
        <v>403</v>
      </c>
      <c r="F35" s="57" t="s">
        <v>400</v>
      </c>
      <c r="G35" s="57" t="s">
        <v>401</v>
      </c>
      <c r="H35" s="57" t="s">
        <v>402</v>
      </c>
      <c r="I35" s="56" t="str">
        <f aca="false">CONCATENATE("« ",B35," »  ",C35, " 20",D35," г.  (приказ о зачислении № ",E35," от « ",F35," » ",G35," 20",H35," г.)")</f>
        <v>« Дата »  Месяц 20Год г.  (приказ о зачислении № ??? от « Дата » Месяц 20Год г.)</v>
      </c>
      <c r="J35" s="57" t="s">
        <v>400</v>
      </c>
      <c r="K35" s="57" t="s">
        <v>401</v>
      </c>
      <c r="L35" s="57" t="s">
        <v>402</v>
      </c>
      <c r="M35" s="57" t="s">
        <v>403</v>
      </c>
      <c r="N35" s="57" t="s">
        <v>400</v>
      </c>
      <c r="O35" s="57" t="s">
        <v>401</v>
      </c>
      <c r="P35" s="57" t="s">
        <v>402</v>
      </c>
      <c r="Q35" s="56" t="str">
        <f aca="false">CONCATENATE("« ",J35," »  ",K35, " 20",L35," г.  (приказ об отчислении № ",M35," от « ",N35," » ",O35," 20",P35," г.)")</f>
        <v>« Дата »  Месяц 20Год г.  (приказ об отчислении № ??? от « Дата » Месяц 20Год г.)</v>
      </c>
      <c r="R35" s="56" t="s">
        <v>481</v>
      </c>
    </row>
    <row r="36" s="55" customFormat="true" ht="56.25" hidden="false" customHeight="false" outlineLevel="0" collapsed="false">
      <c r="A36" s="56" t="s">
        <v>482</v>
      </c>
      <c r="B36" s="57" t="s">
        <v>400</v>
      </c>
      <c r="C36" s="57" t="s">
        <v>401</v>
      </c>
      <c r="D36" s="57" t="s">
        <v>402</v>
      </c>
      <c r="E36" s="57" t="s">
        <v>403</v>
      </c>
      <c r="F36" s="57" t="s">
        <v>400</v>
      </c>
      <c r="G36" s="57" t="s">
        <v>401</v>
      </c>
      <c r="H36" s="57" t="s">
        <v>402</v>
      </c>
      <c r="I36" s="56" t="str">
        <f aca="false">CONCATENATE("« ",B36," »  ",C36, " 20",D36," г.  (приказ о зачислении № ",E36," от « ",F36," » ",G36," 20",H36," г.)")</f>
        <v>« Дата »  Месяц 20Год г.  (приказ о зачислении № ??? от « Дата » Месяц 20Год г.)</v>
      </c>
      <c r="J36" s="57" t="s">
        <v>400</v>
      </c>
      <c r="K36" s="57" t="s">
        <v>401</v>
      </c>
      <c r="L36" s="57" t="s">
        <v>402</v>
      </c>
      <c r="M36" s="57" t="s">
        <v>403</v>
      </c>
      <c r="N36" s="57" t="s">
        <v>400</v>
      </c>
      <c r="O36" s="57" t="s">
        <v>401</v>
      </c>
      <c r="P36" s="57" t="s">
        <v>402</v>
      </c>
      <c r="Q36" s="56" t="str">
        <f aca="false">CONCATENATE("« ",J36," »  ",K36, " 20",L36," г.  (приказ об отчислении № ",M36," от « ",N36," » ",O36," 20",P36," г.)")</f>
        <v>« Дата »  Месяц 20Год г.  (приказ об отчислении № ??? от « Дата » Месяц 20Год г.)</v>
      </c>
      <c r="R36" s="56" t="s">
        <v>483</v>
      </c>
    </row>
    <row r="37" s="55" customFormat="true" ht="56.25" hidden="false" customHeight="false" outlineLevel="0" collapsed="false">
      <c r="A37" s="56" t="s">
        <v>484</v>
      </c>
      <c r="B37" s="57" t="s">
        <v>400</v>
      </c>
      <c r="C37" s="57" t="s">
        <v>401</v>
      </c>
      <c r="D37" s="57" t="s">
        <v>402</v>
      </c>
      <c r="E37" s="57" t="s">
        <v>403</v>
      </c>
      <c r="F37" s="57" t="s">
        <v>400</v>
      </c>
      <c r="G37" s="57" t="s">
        <v>401</v>
      </c>
      <c r="H37" s="57" t="s">
        <v>402</v>
      </c>
      <c r="I37" s="56" t="str">
        <f aca="false">CONCATENATE("« ",B37," »  ",C37, " 20",D37," г.  (приказ о зачислении № ",E37," от « ",F37," » ",G37," 20",H37," г.)")</f>
        <v>« Дата »  Месяц 20Год г.  (приказ о зачислении № ??? от « Дата » Месяц 20Год г.)</v>
      </c>
      <c r="J37" s="57" t="s">
        <v>400</v>
      </c>
      <c r="K37" s="57" t="s">
        <v>401</v>
      </c>
      <c r="L37" s="57" t="s">
        <v>402</v>
      </c>
      <c r="M37" s="57" t="s">
        <v>403</v>
      </c>
      <c r="N37" s="57" t="s">
        <v>400</v>
      </c>
      <c r="O37" s="57" t="s">
        <v>401</v>
      </c>
      <c r="P37" s="57" t="s">
        <v>402</v>
      </c>
      <c r="Q37" s="56" t="str">
        <f aca="false">CONCATENATE("« ",J37," »  ",K37, " 20",L37," г.  (приказ об отчислении № ",M37," от « ",N37," » ",O37," 20",P37," г.)")</f>
        <v>« Дата »  Месяц 20Год г.  (приказ об отчислении № ??? от « Дата » Месяц 20Год г.)</v>
      </c>
      <c r="R37" s="56" t="s">
        <v>485</v>
      </c>
    </row>
    <row r="38" s="55" customFormat="true" ht="56.25" hidden="false" customHeight="false" outlineLevel="0" collapsed="false">
      <c r="A38" s="58" t="s">
        <v>486</v>
      </c>
      <c r="B38" s="59" t="s">
        <v>400</v>
      </c>
      <c r="C38" s="59" t="s">
        <v>401</v>
      </c>
      <c r="D38" s="59" t="s">
        <v>402</v>
      </c>
      <c r="E38" s="59" t="s">
        <v>403</v>
      </c>
      <c r="F38" s="59" t="s">
        <v>400</v>
      </c>
      <c r="G38" s="59" t="s">
        <v>401</v>
      </c>
      <c r="H38" s="59" t="s">
        <v>402</v>
      </c>
      <c r="I38" s="60" t="str">
        <f aca="false">CONCATENATE("« ",B38," »  ",C38, " 20",D38," г.  (приказ о зачислении № ",E38," от « ",F38," » ",G38," 20",H38," г.)")</f>
        <v>« Дата »  Месяц 20Год г.  (приказ о зачислении № ??? от « Дата » Месяц 20Год г.)</v>
      </c>
      <c r="J38" s="59" t="s">
        <v>400</v>
      </c>
      <c r="K38" s="59" t="s">
        <v>401</v>
      </c>
      <c r="L38" s="59" t="s">
        <v>402</v>
      </c>
      <c r="M38" s="59" t="s">
        <v>403</v>
      </c>
      <c r="N38" s="59" t="s">
        <v>400</v>
      </c>
      <c r="O38" s="59" t="s">
        <v>401</v>
      </c>
      <c r="P38" s="59" t="s">
        <v>402</v>
      </c>
      <c r="Q38" s="60" t="str">
        <f aca="false">CONCATENATE("« ",J38," »  ",K38, " 20",L38," г.  (приказ об отчислении № ",M38," от « ",N38," » ",O38," 20",P38," г.)")</f>
        <v>« Дата »  Месяц 20Год г.  (приказ об отчислении № ??? от « Дата » Месяц 20Год г.)</v>
      </c>
      <c r="R38" s="61" t="s">
        <v>487</v>
      </c>
    </row>
  </sheetData>
  <dataValidations count="3">
    <dataValidation allowBlank="true" errorStyle="stop" operator="between" showDropDown="false" showErrorMessage="true" showInputMessage="true" sqref="B2:B28 F2:F28 J2:J28 N2:N28 B33:B38 F33:F38 J33:J38 N33:N38" type="list">
      <formula1>ДМГ!$A$1:$A$32</formula1>
      <formula2>0</formula2>
    </dataValidation>
    <dataValidation allowBlank="true" errorStyle="stop" operator="between" showDropDown="false" showErrorMessage="true" showInputMessage="true" sqref="C2:C28 G2:G28 K2:K28 O2:O28 C33:C38 G33:G38 K33:K38 O33:O38" type="list">
      <formula1>ДМГ!$B$1:$B$13</formula1>
      <formula2>0</formula2>
    </dataValidation>
    <dataValidation allowBlank="true" errorStyle="stop" operator="between" showDropDown="false" showErrorMessage="true" showInputMessage="true" sqref="D2:D28 H2:H28 L2:L28 P2:P28 D33:D38 H33:H38 L33:L38 P33:P38" type="list">
      <formula1>ДМГ!$C$1:$C$9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8" colorId="64" zoomScale="100" zoomScaleNormal="100" zoomScalePageLayoutView="100" workbookViewId="0">
      <selection pane="topLeft" activeCell="B18" activeCellId="0" sqref="B18"/>
    </sheetView>
  </sheetViews>
  <sheetFormatPr defaultColWidth="8.6796875" defaultRowHeight="15.75" zeroHeight="false" outlineLevelRow="0" outlineLevelCol="0"/>
  <cols>
    <col collapsed="false" customWidth="true" hidden="false" outlineLevel="0" max="1" min="1" style="47" width="36.15"/>
    <col collapsed="false" customWidth="true" hidden="false" outlineLevel="0" max="2" min="2" style="62" width="27.71"/>
    <col collapsed="false" customWidth="true" hidden="false" outlineLevel="0" max="3" min="3" style="63" width="13.86"/>
    <col collapsed="false" customWidth="true" hidden="false" outlineLevel="0" max="4" min="4" style="63" width="17.29"/>
    <col collapsed="false" customWidth="true" hidden="false" outlineLevel="0" max="5" min="5" style="47" width="48.57"/>
    <col collapsed="false" customWidth="true" hidden="false" outlineLevel="0" max="6" min="6" style="64" width="15.71"/>
    <col collapsed="false" customWidth="true" hidden="false" outlineLevel="0" max="7" min="7" style="45" width="60.86"/>
    <col collapsed="false" customWidth="true" hidden="false" outlineLevel="0" max="8" min="8" style="47" width="36.15"/>
  </cols>
  <sheetData>
    <row r="1" customFormat="false" ht="56.25" hidden="false" customHeight="false" outlineLevel="0" collapsed="false">
      <c r="A1" s="65" t="s">
        <v>386</v>
      </c>
      <c r="B1" s="65" t="s">
        <v>27</v>
      </c>
      <c r="C1" s="66" t="s">
        <v>488</v>
      </c>
      <c r="D1" s="66" t="s">
        <v>26</v>
      </c>
      <c r="E1" s="65" t="s">
        <v>489</v>
      </c>
      <c r="F1" s="66" t="s">
        <v>490</v>
      </c>
      <c r="G1" s="65" t="s">
        <v>491</v>
      </c>
      <c r="H1" s="65" t="s">
        <v>492</v>
      </c>
    </row>
    <row r="2" customFormat="false" ht="37.5" hidden="false" customHeight="false" outlineLevel="0" collapsed="false">
      <c r="A2" s="67" t="s">
        <v>394</v>
      </c>
      <c r="B2" s="68" t="s">
        <v>404</v>
      </c>
      <c r="C2" s="69" t="s">
        <v>493</v>
      </c>
      <c r="D2" s="69" t="s">
        <v>494</v>
      </c>
      <c r="E2" s="67" t="str">
        <f aca="false">CONCATENATE(C2," ",D2)</f>
        <v>04.06.01 Химические науки</v>
      </c>
      <c r="F2" s="69" t="s">
        <v>495</v>
      </c>
      <c r="G2" s="67" t="str">
        <f aca="false">VLOOKUP(F2,'проф - дисц - спец'!$A:$E,5,0)</f>
        <v>02.00.05 Электрохимия</v>
      </c>
      <c r="H2" s="67" t="str">
        <f aca="false">VLOOKUP(F2,'проф - дисц - спец'!$A:$E,2,0)</f>
        <v>Электрохимия</v>
      </c>
    </row>
    <row r="3" customFormat="false" ht="47.25" hidden="false" customHeight="false" outlineLevel="0" collapsed="false">
      <c r="A3" s="67" t="s">
        <v>405</v>
      </c>
      <c r="B3" s="68" t="s">
        <v>409</v>
      </c>
      <c r="C3" s="69" t="s">
        <v>496</v>
      </c>
      <c r="D3" s="69" t="s">
        <v>497</v>
      </c>
      <c r="E3" s="67" t="str">
        <f aca="false">CONCATENATE(C3," ",D3)</f>
        <v>08.06.01 Техника и технология строительства</v>
      </c>
      <c r="F3" s="69" t="s">
        <v>498</v>
      </c>
      <c r="G3" s="67" t="str">
        <f aca="false">VLOOKUP(F3,'проф - дисц - спец'!$A:$E,5,0)</f>
        <v>05.23.01 Строительные конструкции, здания и сооружения</v>
      </c>
      <c r="H3" s="67" t="str">
        <f aca="false">VLOOKUP(F3,'проф - дисц - спец'!$A:$E,2,0)</f>
        <v>Строительные конструкции, здания и сооружения</v>
      </c>
    </row>
    <row r="4" customFormat="false" ht="47.25" hidden="false" customHeight="false" outlineLevel="0" collapsed="false">
      <c r="A4" s="67" t="s">
        <v>410</v>
      </c>
      <c r="B4" s="68" t="s">
        <v>411</v>
      </c>
      <c r="C4" s="69" t="s">
        <v>496</v>
      </c>
      <c r="D4" s="69" t="s">
        <v>497</v>
      </c>
      <c r="E4" s="67" t="str">
        <f aca="false">CONCATENATE(C4," ",D4)</f>
        <v>08.06.01 Техника и технология строительства</v>
      </c>
      <c r="F4" s="69" t="s">
        <v>498</v>
      </c>
      <c r="G4" s="67" t="str">
        <f aca="false">VLOOKUP(F4,'проф - дисц - спец'!$A:$E,5,0)</f>
        <v>05.23.01 Строительные конструкции, здания и сооружения</v>
      </c>
      <c r="H4" s="67" t="str">
        <f aca="false">VLOOKUP(F4,'проф - дисц - спец'!$A:$E,2,0)</f>
        <v>Строительные конструкции, здания и сооружения</v>
      </c>
    </row>
    <row r="5" customFormat="false" ht="47.25" hidden="false" customHeight="false" outlineLevel="0" collapsed="false">
      <c r="A5" s="67" t="s">
        <v>476</v>
      </c>
      <c r="B5" s="68" t="s">
        <v>477</v>
      </c>
      <c r="C5" s="69" t="s">
        <v>496</v>
      </c>
      <c r="D5" s="69" t="s">
        <v>497</v>
      </c>
      <c r="E5" s="67" t="str">
        <f aca="false">CONCATENATE(C5," ",D5)</f>
        <v>08.06.01 Техника и технология строительства</v>
      </c>
      <c r="F5" s="69" t="s">
        <v>499</v>
      </c>
      <c r="G5" s="67" t="str">
        <f aca="false">VLOOKUP(F5,'проф - дисц - спец'!$A:$E,5,0)</f>
        <v>05.23.05 Строительные материалы и изделия</v>
      </c>
      <c r="H5" s="67" t="str">
        <f aca="false">VLOOKUP(F5,'проф - дисц - спец'!$A:$E,2,0)</f>
        <v>Строительные материалы и изделия</v>
      </c>
    </row>
    <row r="6" customFormat="false" ht="47.25" hidden="false" customHeight="false" outlineLevel="0" collapsed="false">
      <c r="A6" s="67" t="s">
        <v>412</v>
      </c>
      <c r="B6" s="68" t="s">
        <v>413</v>
      </c>
      <c r="C6" s="69" t="s">
        <v>496</v>
      </c>
      <c r="D6" s="69" t="s">
        <v>497</v>
      </c>
      <c r="E6" s="67" t="str">
        <f aca="false">CONCATENATE(C6," ",D6)</f>
        <v>08.06.01 Техника и технология строительства</v>
      </c>
      <c r="F6" s="69" t="s">
        <v>499</v>
      </c>
      <c r="G6" s="67" t="str">
        <f aca="false">VLOOKUP(F6,'проф - дисц - спец'!$A:$E,5,0)</f>
        <v>05.23.05 Строительные материалы и изделия</v>
      </c>
      <c r="H6" s="67" t="str">
        <f aca="false">VLOOKUP(F6,'проф - дисц - спец'!$A:$E,2,0)</f>
        <v>Строительные материалы и изделия</v>
      </c>
    </row>
    <row r="7" customFormat="false" ht="47.25" hidden="false" customHeight="false" outlineLevel="0" collapsed="false">
      <c r="A7" s="67" t="s">
        <v>414</v>
      </c>
      <c r="B7" s="68" t="s">
        <v>415</v>
      </c>
      <c r="C7" s="69" t="s">
        <v>500</v>
      </c>
      <c r="D7" s="69" t="s">
        <v>501</v>
      </c>
      <c r="E7" s="67" t="str">
        <f aca="false">CONCATENATE(C7," ",D7)</f>
        <v>09.06.01 Информатика и вычислительная техника</v>
      </c>
      <c r="F7" s="69" t="s">
        <v>502</v>
      </c>
      <c r="G7" s="67" t="str">
        <f aca="false">VLOOKUP(F7,'проф - дисц - спец'!$A:$E,5,0)</f>
        <v>05.25.05 Информационные системы и процессы</v>
      </c>
      <c r="H7" s="67" t="str">
        <f aca="false">VLOOKUP(F7,'проф - дисц - спец'!$A:$E,2,0)</f>
        <v>Информационные системы и процессы</v>
      </c>
    </row>
    <row r="8" customFormat="false" ht="47.25" hidden="false" customHeight="false" outlineLevel="0" collapsed="false">
      <c r="A8" s="67" t="s">
        <v>416</v>
      </c>
      <c r="B8" s="68" t="s">
        <v>417</v>
      </c>
      <c r="C8" s="69" t="s">
        <v>500</v>
      </c>
      <c r="D8" s="69" t="s">
        <v>501</v>
      </c>
      <c r="E8" s="67" t="str">
        <f aca="false">CONCATENATE(C8," ",D8)</f>
        <v>09.06.01 Информатика и вычислительная техника</v>
      </c>
      <c r="F8" s="69" t="s">
        <v>502</v>
      </c>
      <c r="G8" s="67" t="str">
        <f aca="false">VLOOKUP(F8,'проф - дисц - спец'!$A:$E,5,0)</f>
        <v>05.25.05 Информационные системы и процессы</v>
      </c>
      <c r="H8" s="67" t="str">
        <f aca="false">VLOOKUP(F8,'проф - дисц - спец'!$A:$E,2,0)</f>
        <v>Информационные системы и процессы</v>
      </c>
    </row>
    <row r="9" customFormat="false" ht="47.25" hidden="false" customHeight="false" outlineLevel="0" collapsed="false">
      <c r="A9" s="67" t="s">
        <v>418</v>
      </c>
      <c r="B9" s="68" t="s">
        <v>419</v>
      </c>
      <c r="C9" s="69" t="s">
        <v>500</v>
      </c>
      <c r="D9" s="69" t="s">
        <v>501</v>
      </c>
      <c r="E9" s="67" t="str">
        <f aca="false">CONCATENATE(C9," ",D9)</f>
        <v>09.06.01 Информатика и вычислительная техника</v>
      </c>
      <c r="F9" s="69" t="s">
        <v>502</v>
      </c>
      <c r="G9" s="67" t="str">
        <f aca="false">VLOOKUP(F9,'проф - дисц - спец'!$A:$E,5,0)</f>
        <v>05.25.05 Информационные системы и процессы</v>
      </c>
      <c r="H9" s="67" t="str">
        <f aca="false">VLOOKUP(F9,'проф - дисц - спец'!$A:$E,2,0)</f>
        <v>Информационные системы и процессы</v>
      </c>
    </row>
    <row r="10" customFormat="false" ht="110.25" hidden="false" customHeight="false" outlineLevel="0" collapsed="false">
      <c r="A10" s="67" t="s">
        <v>420</v>
      </c>
      <c r="B10" s="68" t="s">
        <v>421</v>
      </c>
      <c r="C10" s="69" t="s">
        <v>503</v>
      </c>
      <c r="D10" s="69" t="s">
        <v>504</v>
      </c>
      <c r="E10" s="67" t="str">
        <f aca="false">CONCATENATE(C10," ",D10)</f>
        <v>12.06.01 Фотоника, приборостроение, оптические и биотехнические системы и технологии</v>
      </c>
      <c r="F10" s="69" t="s">
        <v>505</v>
      </c>
      <c r="G10" s="67" t="str">
        <f aca="false">VLOOKUP(F10,'проф - дисц - спец'!$A:$E,5,0)</f>
        <v>05.11.13 Приборы и методы контроля природной среды, веществ, материалов и изделий</v>
      </c>
      <c r="H10" s="67" t="str">
        <f aca="false">VLOOKUP(F10,'проф - дисц - спец'!$A:$E,2,0)</f>
        <v>Приборы и системы контроля природной среды, веществ, материалов и изделий</v>
      </c>
    </row>
    <row r="11" customFormat="false" ht="110.25" hidden="false" customHeight="false" outlineLevel="0" collapsed="false">
      <c r="A11" s="68" t="s">
        <v>422</v>
      </c>
      <c r="B11" s="68" t="s">
        <v>423</v>
      </c>
      <c r="C11" s="69" t="s">
        <v>503</v>
      </c>
      <c r="D11" s="69" t="s">
        <v>504</v>
      </c>
      <c r="E11" s="67" t="str">
        <f aca="false">CONCATENATE(C11," ",D11)</f>
        <v>12.06.01 Фотоника, приборостроение, оптические и биотехнические системы и технологии</v>
      </c>
      <c r="F11" s="69" t="s">
        <v>506</v>
      </c>
      <c r="G11" s="67" t="str">
        <f aca="false">VLOOKUP(F11,'проф - дисц - спец'!$A:$E,5,0)</f>
        <v>05.11.17 Приборы, системы и изделия медицинского назначения</v>
      </c>
      <c r="H11" s="67" t="str">
        <f aca="false">VLOOKUP(F11,'проф - дисц - спец'!$A:$E,2,0)</f>
        <v>Приборы, системы, изделия медицинского назначения</v>
      </c>
    </row>
    <row r="12" customFormat="false" ht="110.25" hidden="false" customHeight="false" outlineLevel="0" collapsed="false">
      <c r="A12" s="67" t="s">
        <v>424</v>
      </c>
      <c r="B12" s="68" t="s">
        <v>427</v>
      </c>
      <c r="C12" s="69" t="s">
        <v>503</v>
      </c>
      <c r="D12" s="69" t="s">
        <v>504</v>
      </c>
      <c r="E12" s="67" t="str">
        <f aca="false">CONCATENATE(C12," ",D12)</f>
        <v>12.06.01 Фотоника, приборостроение, оптические и биотехнические системы и технологии</v>
      </c>
      <c r="F12" s="69" t="s">
        <v>507</v>
      </c>
      <c r="G12" s="67" t="str">
        <f aca="false">VLOOKUP(F12,'проф - дисц - спец'!$A:$E,5,0)</f>
        <v>05.11.16 Информационноизмерительные и управляющие системы (по отраслям)</v>
      </c>
      <c r="H12" s="67" t="str">
        <f aca="false">VLOOKUP(F12,'проф - дисц - спец'!$A:$E,2,0)</f>
        <v>Информационно-измерительные и управляющие системы</v>
      </c>
    </row>
    <row r="13" customFormat="false" ht="110.25" hidden="false" customHeight="false" outlineLevel="0" collapsed="false">
      <c r="A13" s="56" t="s">
        <v>428</v>
      </c>
      <c r="B13" s="56" t="s">
        <v>429</v>
      </c>
      <c r="C13" s="69" t="s">
        <v>503</v>
      </c>
      <c r="D13" s="69" t="s">
        <v>504</v>
      </c>
      <c r="E13" s="67" t="str">
        <f aca="false">CONCATENATE(C13," ",D13)</f>
        <v>12.06.01 Фотоника, приборостроение, оптические и биотехнические системы и технологии</v>
      </c>
      <c r="F13" s="69" t="s">
        <v>507</v>
      </c>
      <c r="G13" s="67" t="str">
        <f aca="false">VLOOKUP(F13,'проф - дисц - спец'!$A:$E,5,0)</f>
        <v>05.11.16 Информационноизмерительные и управляющие системы (по отраслям)</v>
      </c>
      <c r="H13" s="67" t="str">
        <f aca="false">VLOOKUP(F13,'проф - дисц - спец'!$A:$E,2,0)</f>
        <v>Информационно-измерительные и управляющие системы</v>
      </c>
    </row>
    <row r="14" customFormat="false" ht="37.5" hidden="false" customHeight="false" outlineLevel="0" collapsed="false">
      <c r="A14" s="67" t="s">
        <v>430</v>
      </c>
      <c r="B14" s="68" t="s">
        <v>431</v>
      </c>
      <c r="C14" s="69" t="s">
        <v>508</v>
      </c>
      <c r="D14" s="69" t="s">
        <v>509</v>
      </c>
      <c r="E14" s="67" t="str">
        <f aca="false">CONCATENATE(C14," ",D14)</f>
        <v>15.06.01 Машиностроение</v>
      </c>
      <c r="F14" s="69" t="s">
        <v>510</v>
      </c>
      <c r="G14" s="67" t="str">
        <f aca="false">VLOOKUP(F14,'проф - дисц - спец'!$A:$E,5,0)</f>
        <v>05.02.13 Машины, агрегаты и процессы (по отраслям)</v>
      </c>
      <c r="H14" s="67" t="str">
        <f aca="false">VLOOKUP(F14,'проф - дисц - спец'!$A:$E,2,0)</f>
        <v>Машины, агрегаты и процессы</v>
      </c>
    </row>
    <row r="15" customFormat="false" ht="37.5" hidden="false" customHeight="false" outlineLevel="0" collapsed="false">
      <c r="A15" s="67" t="s">
        <v>432</v>
      </c>
      <c r="B15" s="68" t="s">
        <v>433</v>
      </c>
      <c r="C15" s="69" t="s">
        <v>511</v>
      </c>
      <c r="D15" s="69" t="s">
        <v>512</v>
      </c>
      <c r="E15" s="67" t="str">
        <f aca="false">CONCATENATE(C15," ",D15)</f>
        <v>18.06.01 Химическая технология</v>
      </c>
      <c r="F15" s="69" t="s">
        <v>513</v>
      </c>
      <c r="G15" s="67" t="str">
        <f aca="false">VLOOKUP(F15,'проф - дисц - спец'!$A:$E,5,0)</f>
        <v>05.17.08 Процессы и аппараты химических технологий</v>
      </c>
      <c r="H15" s="67" t="str">
        <f aca="false">VLOOKUP(F15,'проф - дисц - спец'!$A:$E,2,0)</f>
        <v>Процессы и аппараты химической технологии</v>
      </c>
    </row>
    <row r="16" customFormat="false" ht="37.5" hidden="false" customHeight="false" outlineLevel="0" collapsed="false">
      <c r="A16" s="67" t="s">
        <v>434</v>
      </c>
      <c r="B16" s="68" t="s">
        <v>435</v>
      </c>
      <c r="C16" s="69" t="s">
        <v>511</v>
      </c>
      <c r="D16" s="69" t="s">
        <v>512</v>
      </c>
      <c r="E16" s="67" t="str">
        <f aca="false">CONCATENATE(C16," ",D16)</f>
        <v>18.06.01 Химическая технология</v>
      </c>
      <c r="F16" s="69" t="s">
        <v>513</v>
      </c>
      <c r="G16" s="67" t="str">
        <f aca="false">VLOOKUP(F16,'проф - дисц - спец'!$A:$E,5,0)</f>
        <v>05.17.08 Процессы и аппараты химических технологий</v>
      </c>
      <c r="H16" s="67" t="str">
        <f aca="false">VLOOKUP(F16,'проф - дисц - спец'!$A:$E,2,0)</f>
        <v>Процессы и аппараты химической технологии</v>
      </c>
    </row>
    <row r="17" customFormat="false" ht="37.5" hidden="false" customHeight="false" outlineLevel="0" collapsed="false">
      <c r="A17" s="67" t="s">
        <v>478</v>
      </c>
      <c r="B17" s="68" t="s">
        <v>479</v>
      </c>
      <c r="C17" s="69" t="s">
        <v>511</v>
      </c>
      <c r="D17" s="69" t="s">
        <v>512</v>
      </c>
      <c r="E17" s="67" t="str">
        <f aca="false">CONCATENATE(C17," ",D17)</f>
        <v>18.06.01 Химическая технология</v>
      </c>
      <c r="F17" s="69" t="s">
        <v>513</v>
      </c>
      <c r="G17" s="67" t="str">
        <f aca="false">VLOOKUP(F17,'проф - дисц - спец'!$A:$E,5,0)</f>
        <v>05.17.08 Процессы и аппараты химических технологий</v>
      </c>
      <c r="H17" s="67" t="str">
        <f aca="false">VLOOKUP(F17,'проф - дисц - спец'!$A:$E,2,0)</f>
        <v>Процессы и аппараты химической технологии</v>
      </c>
    </row>
    <row r="18" customFormat="false" ht="93.75" hidden="false" customHeight="false" outlineLevel="0" collapsed="false">
      <c r="A18" s="67" t="s">
        <v>436</v>
      </c>
      <c r="B18" s="56" t="s">
        <v>437</v>
      </c>
      <c r="C18" s="69" t="s">
        <v>514</v>
      </c>
      <c r="D18" s="69" t="s">
        <v>515</v>
      </c>
      <c r="E18" s="67" t="str">
        <f aca="false">CONCATENATE(C18," ",D18)</f>
        <v>27.06.01 Управление в технических системах</v>
      </c>
      <c r="F18" s="69" t="s">
        <v>516</v>
      </c>
      <c r="G18" s="67" t="str">
        <f aca="false">VLOOKUP(F18,'проф - дисц - спец'!$A:$E,5,0)</f>
        <v>05.13.06 Автоматизация и управление технологическими процессами и производствами (по отраслям)</v>
      </c>
      <c r="H18" s="67" t="str">
        <f aca="false">VLOOKUP(F18,'проф - дисц - спец'!$A:$E,2,0)</f>
        <v>Автоматизированное управление технологическими процессами и производствами</v>
      </c>
    </row>
    <row r="19" customFormat="false" ht="47.25" hidden="false" customHeight="false" outlineLevel="0" collapsed="false">
      <c r="A19" s="67" t="s">
        <v>438</v>
      </c>
      <c r="B19" s="68" t="s">
        <v>439</v>
      </c>
      <c r="C19" s="69" t="s">
        <v>517</v>
      </c>
      <c r="D19" s="69" t="s">
        <v>137</v>
      </c>
      <c r="E19" s="67" t="str">
        <f aca="false">CONCATENATE(C19," ",D19)</f>
        <v>28.06.01 Нанотехнологии и наноматериалы</v>
      </c>
      <c r="F19" s="69" t="s">
        <v>518</v>
      </c>
      <c r="G19" s="67" t="str">
        <f aca="false">VLOOKUP(F19,'проф - дисц - спец'!$A:$E,5,0)</f>
        <v>05.16.08 Нанотехнологии и наноматериалы (по отраслям)</v>
      </c>
      <c r="H19" s="67" t="str">
        <f aca="false">VLOOKUP(F19,'проф - дисц - спец'!$A:$E,2,0)</f>
        <v>Нанотехнологии и наноматериалы</v>
      </c>
    </row>
    <row r="20" customFormat="false" ht="47.25" hidden="false" customHeight="false" outlineLevel="0" collapsed="false">
      <c r="A20" s="67" t="s">
        <v>440</v>
      </c>
      <c r="B20" s="68" t="s">
        <v>441</v>
      </c>
      <c r="C20" s="69" t="s">
        <v>517</v>
      </c>
      <c r="D20" s="69" t="s">
        <v>137</v>
      </c>
      <c r="E20" s="67" t="str">
        <f aca="false">CONCATENATE(C20," ",D20)</f>
        <v>28.06.01 Нанотехнологии и наноматериалы</v>
      </c>
      <c r="F20" s="69" t="s">
        <v>518</v>
      </c>
      <c r="G20" s="67" t="str">
        <f aca="false">VLOOKUP(F20,'проф - дисц - спец'!$A:$E,5,0)</f>
        <v>05.16.08 Нанотехнологии и наноматериалы (по отраслям)</v>
      </c>
      <c r="H20" s="67" t="str">
        <f aca="false">VLOOKUP(F20,'проф - дисц - спец'!$A:$E,2,0)</f>
        <v>Нанотехнологии и наноматериалы</v>
      </c>
    </row>
    <row r="21" customFormat="false" ht="47.25" hidden="false" customHeight="false" outlineLevel="0" collapsed="false">
      <c r="A21" s="67" t="s">
        <v>442</v>
      </c>
      <c r="B21" s="68" t="s">
        <v>445</v>
      </c>
      <c r="C21" s="69" t="s">
        <v>496</v>
      </c>
      <c r="D21" s="69" t="s">
        <v>497</v>
      </c>
      <c r="E21" s="67" t="str">
        <f aca="false">CONCATENATE(C21," ",D21)</f>
        <v>08.06.01 Техника и технология строительства</v>
      </c>
      <c r="F21" s="69" t="s">
        <v>499</v>
      </c>
      <c r="G21" s="67" t="str">
        <f aca="false">VLOOKUP(F21,'проф - дисц - спец'!$A:$E,5,0)</f>
        <v>05.23.05 Строительные материалы и изделия</v>
      </c>
      <c r="H21" s="67" t="str">
        <f aca="false">VLOOKUP(F21,'проф - дисц - спец'!$A:$E,2,0)</f>
        <v>Строительные материалы и изделия</v>
      </c>
    </row>
    <row r="22" customFormat="false" ht="47.25" hidden="false" customHeight="false" outlineLevel="0" collapsed="false">
      <c r="A22" s="67" t="s">
        <v>480</v>
      </c>
      <c r="B22" s="68" t="s">
        <v>481</v>
      </c>
      <c r="C22" s="69" t="s">
        <v>500</v>
      </c>
      <c r="D22" s="69" t="s">
        <v>501</v>
      </c>
      <c r="E22" s="67" t="str">
        <f aca="false">CONCATENATE(C22," ",D22)</f>
        <v>09.06.01 Информатика и вычислительная техника</v>
      </c>
      <c r="F22" s="69" t="s">
        <v>502</v>
      </c>
      <c r="G22" s="67" t="str">
        <f aca="false">VLOOKUP(F22,'проф - дисц - спец'!$A:$E,5,0)</f>
        <v>05.25.05 Информационные системы и процессы</v>
      </c>
      <c r="H22" s="67" t="str">
        <f aca="false">VLOOKUP(F22,'проф - дисц - спец'!$A:$E,2,0)</f>
        <v>Информационные системы и процессы</v>
      </c>
    </row>
    <row r="23" customFormat="false" ht="37.5" hidden="false" customHeight="false" outlineLevel="0" collapsed="false">
      <c r="A23" s="68" t="s">
        <v>446</v>
      </c>
      <c r="B23" s="68" t="s">
        <v>449</v>
      </c>
      <c r="C23" s="69" t="s">
        <v>511</v>
      </c>
      <c r="D23" s="69" t="s">
        <v>512</v>
      </c>
      <c r="E23" s="67" t="str">
        <f aca="false">CONCATENATE(C23," ",D23)</f>
        <v>18.06.01 Химическая технология</v>
      </c>
      <c r="F23" s="69" t="s">
        <v>513</v>
      </c>
      <c r="G23" s="67" t="str">
        <f aca="false">VLOOKUP(F23,'проф - дисц - спец'!$A:$E,5,0)</f>
        <v>05.17.08 Процессы и аппараты химических технологий</v>
      </c>
      <c r="H23" s="67" t="str">
        <f aca="false">VLOOKUP(F23,'проф - дисц - спец'!$A:$E,2,0)</f>
        <v>Процессы и аппараты химической технологии</v>
      </c>
    </row>
    <row r="24" customFormat="false" ht="47.25" hidden="false" customHeight="false" outlineLevel="0" collapsed="false">
      <c r="A24" s="67" t="s">
        <v>450</v>
      </c>
      <c r="B24" s="68" t="s">
        <v>452</v>
      </c>
      <c r="C24" s="69" t="s">
        <v>517</v>
      </c>
      <c r="D24" s="69" t="s">
        <v>137</v>
      </c>
      <c r="E24" s="67" t="str">
        <f aca="false">CONCATENATE(C24," ",D24)</f>
        <v>28.06.01 Нанотехнологии и наноматериалы</v>
      </c>
      <c r="F24" s="69" t="s">
        <v>518</v>
      </c>
      <c r="G24" s="67" t="str">
        <f aca="false">VLOOKUP(F24,'проф - дисц - спец'!$A:$E,5,0)</f>
        <v>05.16.08 Нанотехнологии и наноматериалы (по отраслям)</v>
      </c>
      <c r="H24" s="67" t="str">
        <f aca="false">VLOOKUP(F24,'проф - дисц - спец'!$A:$E,2,0)</f>
        <v>Нанотехнологии и наноматериалы</v>
      </c>
    </row>
    <row r="25" customFormat="false" ht="47.25" hidden="false" customHeight="false" outlineLevel="0" collapsed="false">
      <c r="A25" s="67" t="s">
        <v>453</v>
      </c>
      <c r="B25" s="68" t="s">
        <v>454</v>
      </c>
      <c r="C25" s="69" t="s">
        <v>517</v>
      </c>
      <c r="D25" s="69" t="s">
        <v>137</v>
      </c>
      <c r="E25" s="67" t="str">
        <f aca="false">CONCATENATE(C25," ",D25)</f>
        <v>28.06.01 Нанотехнологии и наноматериалы</v>
      </c>
      <c r="F25" s="69" t="s">
        <v>518</v>
      </c>
      <c r="G25" s="67" t="str">
        <f aca="false">VLOOKUP(F25,'проф - дисц - спец'!$A:$E,5,0)</f>
        <v>05.16.08 Нанотехнологии и наноматериалы (по отраслям)</v>
      </c>
      <c r="H25" s="67" t="str">
        <f aca="false">VLOOKUP(F25,'проф - дисц - спец'!$A:$E,2,0)</f>
        <v>Нанотехнологии и наноматериалы</v>
      </c>
    </row>
    <row r="26" customFormat="false" ht="47.25" hidden="false" customHeight="false" outlineLevel="0" collapsed="false">
      <c r="A26" s="67" t="s">
        <v>482</v>
      </c>
      <c r="B26" s="68" t="s">
        <v>483</v>
      </c>
      <c r="C26" s="69" t="s">
        <v>519</v>
      </c>
      <c r="D26" s="69" t="s">
        <v>520</v>
      </c>
      <c r="E26" s="67" t="str">
        <f aca="false">CONCATENATE(C26," ",D26)</f>
        <v>45.06.01 Языкознание и литературоведение</v>
      </c>
      <c r="F26" s="69" t="s">
        <v>521</v>
      </c>
      <c r="G26" s="67" t="str">
        <f aca="false">VLOOKUP(F26,'проф - дисц - спец'!$A:$E,5,0)</f>
        <v>10.02.19 Теория языка</v>
      </c>
      <c r="H26" s="67" t="str">
        <f aca="false">VLOOKUP(F26,'проф - дисц - спец'!$A:$E,2,0)</f>
        <v>Теория языка</v>
      </c>
    </row>
    <row r="27" customFormat="false" ht="47.25" hidden="false" customHeight="false" outlineLevel="0" collapsed="false">
      <c r="A27" s="67" t="s">
        <v>455</v>
      </c>
      <c r="B27" s="68" t="s">
        <v>460</v>
      </c>
      <c r="C27" s="69" t="s">
        <v>522</v>
      </c>
      <c r="D27" s="69" t="s">
        <v>523</v>
      </c>
      <c r="E27" s="67" t="str">
        <f aca="false">CONCATENATE(C27," ",D27)</f>
        <v>46.06.01 Исторические науки и археология</v>
      </c>
      <c r="F27" s="69" t="s">
        <v>524</v>
      </c>
      <c r="G27" s="67" t="str">
        <f aca="false">VLOOKUP(F27,'проф - дисц - спец'!$A:$E,5,0)</f>
        <v>07.00.02 Отечественная история</v>
      </c>
      <c r="H27" s="67" t="str">
        <f aca="false">VLOOKUP(F27,'проф - дисц - спец'!$A:$E,2,0)</f>
        <v>Отечественная история</v>
      </c>
    </row>
    <row r="28" customFormat="false" ht="47.25" hidden="false" customHeight="false" outlineLevel="0" collapsed="false">
      <c r="A28" s="67" t="s">
        <v>484</v>
      </c>
      <c r="B28" s="68" t="s">
        <v>485</v>
      </c>
      <c r="C28" s="69" t="s">
        <v>522</v>
      </c>
      <c r="D28" s="69" t="s">
        <v>523</v>
      </c>
      <c r="E28" s="67" t="str">
        <f aca="false">CONCATENATE(C28," ",D28)</f>
        <v>46.06.01 Исторические науки и археология</v>
      </c>
      <c r="F28" s="69" t="s">
        <v>524</v>
      </c>
      <c r="G28" s="67" t="str">
        <f aca="false">VLOOKUP(F28,'проф - дисц - спец'!$A:$E,5,0)</f>
        <v>07.00.02 Отечественная история</v>
      </c>
      <c r="H28" s="67" t="str">
        <f aca="false">VLOOKUP(F28,'проф - дисц - спец'!$A:$E,2,0)</f>
        <v>Отечественная история</v>
      </c>
    </row>
    <row r="29" customFormat="false" ht="56.25" hidden="false" customHeight="false" outlineLevel="0" collapsed="false">
      <c r="A29" s="67" t="s">
        <v>461</v>
      </c>
      <c r="B29" s="68" t="s">
        <v>464</v>
      </c>
      <c r="C29" s="69" t="s">
        <v>500</v>
      </c>
      <c r="D29" s="69" t="s">
        <v>501</v>
      </c>
      <c r="E29" s="67" t="str">
        <f aca="false">CONCATENATE(C29," ",D29)</f>
        <v>09.06.01 Информатика и вычислительная техника</v>
      </c>
      <c r="F29" s="69" t="s">
        <v>525</v>
      </c>
      <c r="G29" s="67" t="str">
        <f aca="false">VLOOKUP(F29,'проф - дисц - спец'!$A:$E,5,0)</f>
        <v>05.13.01 Системный анализ, управление и обработка информации</v>
      </c>
      <c r="H29" s="67" t="str">
        <f aca="false">VLOOKUP(F29,'проф - дисц - спец'!$A:$E,2,0)</f>
        <v>Системный анализ, управление и обработка информации</v>
      </c>
    </row>
    <row r="30" customFormat="false" ht="63" hidden="false" customHeight="false" outlineLevel="0" collapsed="false">
      <c r="A30" s="67" t="s">
        <v>465</v>
      </c>
      <c r="B30" s="68" t="s">
        <v>468</v>
      </c>
      <c r="C30" s="69" t="s">
        <v>526</v>
      </c>
      <c r="D30" s="69" t="s">
        <v>527</v>
      </c>
      <c r="E30" s="67" t="str">
        <f aca="false">CONCATENATE(C30," ",D30)</f>
        <v>41.06.01 Политические науки и регионоведение</v>
      </c>
      <c r="F30" s="69" t="s">
        <v>528</v>
      </c>
      <c r="G30" s="67" t="str">
        <f aca="false">VLOOKUP(F30,'проф - дисц - спец'!$A:$E,5,0)</f>
        <v>23.00.02 Политические институты, процессы и технологии</v>
      </c>
      <c r="H30" s="67" t="str">
        <f aca="false">VLOOKUP(F30,'проф - дисц - спец'!$A:$E,2,0)</f>
        <v>Политические институты, процессы и технологии</v>
      </c>
    </row>
    <row r="31" customFormat="false" ht="37.5" hidden="false" customHeight="false" outlineLevel="0" collapsed="false">
      <c r="A31" s="67" t="s">
        <v>469</v>
      </c>
      <c r="B31" s="68" t="s">
        <v>471</v>
      </c>
      <c r="C31" s="69" t="s">
        <v>529</v>
      </c>
      <c r="D31" s="69" t="s">
        <v>530</v>
      </c>
      <c r="E31" s="67" t="str">
        <f aca="false">CONCATENATE(C31," ",D31)</f>
        <v>38.06.01 Экономика</v>
      </c>
      <c r="F31" s="69" t="s">
        <v>531</v>
      </c>
      <c r="G31" s="67" t="str">
        <f aca="false">VLOOKUP(F31,'проф - дисц - спец'!$A:$E,5,0)</f>
        <v>08.00.05 Экономика и управление народным хозяйством (по отраслям)</v>
      </c>
      <c r="H31" s="67" t="str">
        <f aca="false">VLOOKUP(F31,'проф - дисц - спец'!$A:$E,2,0)</f>
        <v>Экономика и управление народным хозяйством</v>
      </c>
    </row>
    <row r="32" customFormat="false" ht="37.5" hidden="false" customHeight="false" outlineLevel="0" collapsed="false">
      <c r="A32" s="68" t="s">
        <v>486</v>
      </c>
      <c r="B32" s="68" t="s">
        <v>487</v>
      </c>
      <c r="C32" s="69" t="s">
        <v>529</v>
      </c>
      <c r="D32" s="69" t="s">
        <v>530</v>
      </c>
      <c r="E32" s="67" t="str">
        <f aca="false">CONCATENATE(C32," ",D32)</f>
        <v>38.06.01 Экономика</v>
      </c>
      <c r="F32" s="69" t="s">
        <v>532</v>
      </c>
      <c r="G32" s="67" t="str">
        <f aca="false">VLOOKUP(F32,'проф - дисц - спец'!$A:$E,5,0)</f>
        <v>08.00.10 Финансы, денежное обращение и кредит</v>
      </c>
      <c r="H32" s="67" t="str">
        <f aca="false">VLOOKUP(F32,'проф - дисц - спец'!$A:$E,2,0)</f>
        <v>Финансы, денежное обращение и кредит</v>
      </c>
    </row>
    <row r="33" customFormat="false" ht="63" hidden="false" customHeight="false" outlineLevel="0" collapsed="false">
      <c r="A33" s="67" t="s">
        <v>472</v>
      </c>
      <c r="B33" s="68" t="s">
        <v>473</v>
      </c>
      <c r="C33" s="69" t="s">
        <v>526</v>
      </c>
      <c r="D33" s="69" t="s">
        <v>527</v>
      </c>
      <c r="E33" s="67" t="str">
        <f aca="false">CONCATENATE(C33," ",D33)</f>
        <v>41.06.01 Политические науки и регионоведение</v>
      </c>
      <c r="F33" s="69" t="s">
        <v>528</v>
      </c>
      <c r="G33" s="67" t="str">
        <f aca="false">VLOOKUP(F33,'проф - дисц - спец'!$A:$E,5,0)</f>
        <v>23.00.02 Политические институты, процессы и технологии</v>
      </c>
      <c r="H33" s="67" t="str">
        <f aca="false">VLOOKUP(F33,'проф - дисц - спец'!$A:$E,2,0)</f>
        <v>Политические институты, процессы и технологии</v>
      </c>
    </row>
    <row r="34" customFormat="false" ht="63" hidden="false" customHeight="false" outlineLevel="0" collapsed="false">
      <c r="A34" s="67" t="s">
        <v>474</v>
      </c>
      <c r="B34" s="68" t="s">
        <v>475</v>
      </c>
      <c r="C34" s="69" t="s">
        <v>526</v>
      </c>
      <c r="D34" s="69" t="s">
        <v>527</v>
      </c>
      <c r="E34" s="67" t="str">
        <f aca="false">CONCATENATE(C34," ",D34)</f>
        <v>41.06.01 Политические науки и регионоведение</v>
      </c>
      <c r="F34" s="69" t="s">
        <v>528</v>
      </c>
      <c r="G34" s="67" t="str">
        <f aca="false">VLOOKUP(F34,'проф - дисц - спец'!$A:$E,5,0)</f>
        <v>23.00.02 Политические институты, процессы и технологии</v>
      </c>
      <c r="H34" s="67" t="str">
        <f aca="false">VLOOKUP(F34,'проф - дисц - спец'!$A:$E,2,0)</f>
        <v>Политические институты, процессы и технологии</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38"/>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T2" activeCellId="0" sqref="T2"/>
    </sheetView>
  </sheetViews>
  <sheetFormatPr defaultColWidth="8.6796875" defaultRowHeight="15" zeroHeight="false" outlineLevelRow="0" outlineLevelCol="0"/>
  <cols>
    <col collapsed="false" customWidth="true" hidden="false" outlineLevel="0" max="2" min="1" style="46" width="6.57"/>
    <col collapsed="false" customWidth="true" hidden="false" outlineLevel="0" max="5" min="3" style="46" width="3.71"/>
    <col collapsed="false" customWidth="true" hidden="false" outlineLevel="0" max="9" min="6" style="46" width="9.42"/>
    <col collapsed="false" customWidth="true" hidden="false" outlineLevel="0" max="10" min="10" style="46" width="23.71"/>
    <col collapsed="false" customWidth="true" hidden="false" outlineLevel="0" max="11" min="11" style="46" width="6.57"/>
    <col collapsed="false" customWidth="true" hidden="false" outlineLevel="0" max="14" min="12" style="46" width="3.71"/>
    <col collapsed="false" customWidth="true" hidden="false" outlineLevel="0" max="15" min="15" style="47" width="9.42"/>
    <col collapsed="false" customWidth="true" hidden="false" outlineLevel="0" max="19" min="16" style="46" width="15.14"/>
    <col collapsed="false" customWidth="true" hidden="false" outlineLevel="0" max="20" min="20" style="46" width="32.29"/>
    <col collapsed="false" customWidth="true" hidden="false" outlineLevel="0" max="21" min="21" style="46" width="9.42"/>
    <col collapsed="false" customWidth="true" hidden="false" outlineLevel="0" max="24" min="22" style="46" width="3.71"/>
    <col collapsed="false" customWidth="true" hidden="false" outlineLevel="0" max="25" min="25" style="47" width="9.42"/>
    <col collapsed="false" customWidth="true" hidden="false" outlineLevel="0" max="28" min="26" style="46" width="12.29"/>
    <col collapsed="false" customWidth="true" hidden="false" outlineLevel="0" max="29" min="29" style="46" width="29.42"/>
  </cols>
  <sheetData>
    <row r="1" customFormat="false" ht="121.5" hidden="false" customHeight="true" outlineLevel="0" collapsed="false">
      <c r="A1" s="70" t="s">
        <v>386</v>
      </c>
      <c r="B1" s="71" t="s">
        <v>533</v>
      </c>
      <c r="C1" s="72" t="s">
        <v>534</v>
      </c>
      <c r="D1" s="72" t="s">
        <v>400</v>
      </c>
      <c r="E1" s="72" t="s">
        <v>535</v>
      </c>
      <c r="F1" s="71" t="s">
        <v>536</v>
      </c>
      <c r="G1" s="71" t="s">
        <v>8</v>
      </c>
      <c r="H1" s="72" t="s">
        <v>537</v>
      </c>
      <c r="I1" s="72" t="s">
        <v>538</v>
      </c>
      <c r="J1" s="71" t="s">
        <v>539</v>
      </c>
      <c r="K1" s="73" t="s">
        <v>540</v>
      </c>
      <c r="L1" s="72" t="s">
        <v>534</v>
      </c>
      <c r="M1" s="72" t="s">
        <v>400</v>
      </c>
      <c r="N1" s="72" t="s">
        <v>535</v>
      </c>
      <c r="O1" s="73" t="s">
        <v>536</v>
      </c>
      <c r="P1" s="73" t="s">
        <v>8</v>
      </c>
      <c r="Q1" s="72" t="s">
        <v>537</v>
      </c>
      <c r="R1" s="72" t="s">
        <v>538</v>
      </c>
      <c r="S1" s="72" t="s">
        <v>541</v>
      </c>
      <c r="T1" s="73" t="s">
        <v>539</v>
      </c>
      <c r="U1" s="74" t="s">
        <v>542</v>
      </c>
      <c r="V1" s="72" t="s">
        <v>534</v>
      </c>
      <c r="W1" s="72" t="s">
        <v>400</v>
      </c>
      <c r="X1" s="72" t="s">
        <v>535</v>
      </c>
      <c r="Y1" s="74" t="s">
        <v>536</v>
      </c>
      <c r="Z1" s="74" t="s">
        <v>8</v>
      </c>
      <c r="AA1" s="72" t="s">
        <v>537</v>
      </c>
      <c r="AB1" s="72" t="s">
        <v>538</v>
      </c>
      <c r="AC1" s="74" t="s">
        <v>539</v>
      </c>
    </row>
    <row r="2" customFormat="false" ht="255.75" hidden="false" customHeight="true" outlineLevel="0" collapsed="false">
      <c r="A2" s="75" t="s">
        <v>394</v>
      </c>
      <c r="B2" s="76" t="s">
        <v>33</v>
      </c>
      <c r="C2" s="77" t="s">
        <v>543</v>
      </c>
      <c r="D2" s="77" t="s">
        <v>544</v>
      </c>
      <c r="E2" s="77" t="n">
        <v>2017</v>
      </c>
      <c r="F2" s="76" t="str">
        <f aca="false">CONCATENATE(C2,CHAR(10),D2,CHAR(10),E2," года")</f>
        <v>Отлично 
24 января
2017 года</v>
      </c>
      <c r="G2" s="77" t="s">
        <v>545</v>
      </c>
      <c r="H2" s="77" t="s">
        <v>546</v>
      </c>
      <c r="I2" s="77" t="s">
        <v>547</v>
      </c>
      <c r="J2" s="76" t="str">
        <f aca="false">CONCATENATE(H2,CHAR(10),I2)</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2" s="78" t="s">
        <v>548</v>
      </c>
      <c r="L2" s="77" t="s">
        <v>543</v>
      </c>
      <c r="M2" s="77" t="s">
        <v>549</v>
      </c>
      <c r="N2" s="77" t="n">
        <v>2017</v>
      </c>
      <c r="O2" s="78" t="str">
        <f aca="false">CONCATENATE(L2,CHAR(10),M2,CHAR(10),N2," года")</f>
        <v>Отлично 
22 июня
2017 года</v>
      </c>
      <c r="P2" s="77" t="s">
        <v>550</v>
      </c>
      <c r="Q2" s="77" t="s">
        <v>551</v>
      </c>
      <c r="R2" s="77" t="s">
        <v>552</v>
      </c>
      <c r="S2" s="77" t="s">
        <v>132</v>
      </c>
      <c r="T2" s="78" t="str">
        <f aca="false">CONCATENATE(Q2,CHAR(10),R2,CHAR(10),S2)</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2" s="79" t="str">
        <f aca="false">VLOOKUP(A2,'БД направление'!$A:$H,8,0)</f>
        <v>Электрохимия</v>
      </c>
      <c r="V2" s="77" t="s">
        <v>543</v>
      </c>
      <c r="W2" s="77" t="s">
        <v>553</v>
      </c>
      <c r="X2" s="77" t="n">
        <v>2019</v>
      </c>
      <c r="Y2" s="79" t="str">
        <f aca="false">CONCATENATE(V2,CHAR(10),W2,CHAR(10),X2," года")</f>
        <v>Отлично 
27 июня
2019 года</v>
      </c>
      <c r="Z2" s="77" t="s">
        <v>554</v>
      </c>
      <c r="AA2" s="77" t="s">
        <v>555</v>
      </c>
      <c r="AB2" s="77" t="s">
        <v>132</v>
      </c>
      <c r="AC2" s="79" t="str">
        <f aca="false">CONCATENATE(AA2,CHAR(10),AB2)</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3" customFormat="false" ht="257.25" hidden="false" customHeight="false" outlineLevel="0" collapsed="false">
      <c r="A3" s="75" t="s">
        <v>405</v>
      </c>
      <c r="B3" s="76" t="s">
        <v>33</v>
      </c>
      <c r="C3" s="77" t="s">
        <v>543</v>
      </c>
      <c r="D3" s="77" t="s">
        <v>556</v>
      </c>
      <c r="E3" s="77" t="n">
        <v>2017</v>
      </c>
      <c r="F3" s="76" t="str">
        <f aca="false">CONCATENATE(C3,CHAR(10),D3,CHAR(10),E3," года")</f>
        <v>Отлично 
21 января
2017 года</v>
      </c>
      <c r="G3" s="77" t="s">
        <v>545</v>
      </c>
      <c r="H3" s="77" t="s">
        <v>546</v>
      </c>
      <c r="I3" s="77" t="s">
        <v>557</v>
      </c>
      <c r="J3" s="76" t="str">
        <f aca="false">CONCATENATE(H3,CHAR(10),I3)</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3" s="78" t="s">
        <v>548</v>
      </c>
      <c r="L3" s="77" t="s">
        <v>543</v>
      </c>
      <c r="M3" s="77" t="s">
        <v>558</v>
      </c>
      <c r="N3" s="77" t="n">
        <v>2017</v>
      </c>
      <c r="O3" s="78" t="str">
        <f aca="false">CONCATENATE(L3,CHAR(10),M3,CHAR(10),N3," года")</f>
        <v>Отлично 
20 июня
2017 года</v>
      </c>
      <c r="P3" s="77" t="s">
        <v>550</v>
      </c>
      <c r="Q3" s="77" t="s">
        <v>559</v>
      </c>
      <c r="R3" s="77" t="s">
        <v>560</v>
      </c>
      <c r="S3" s="77" t="s">
        <v>561</v>
      </c>
      <c r="T3" s="78" t="str">
        <f aca="false">CONCATENATE(Q3,CHAR(10),R3,CHAR(10),S3)</f>
        <v>Бородулина Н.Ю., доктор филологических наук, доцент, профессор кафедры «Иностранных языков», заместитель председателя комиссии
Гуляева Е.А., кандидат педагогических наук, доцент, доцент кафедры «Иностранных языков»
Червяков В.М., доктор технических наук, доцент, профессор кафедры «Техническая механика и детали машин»</v>
      </c>
      <c r="U3" s="79" t="str">
        <f aca="false">VLOOKUP(A3,'БД направление'!$A:$H,8,0)</f>
        <v>Строительные конструкции, здания и сооружения</v>
      </c>
      <c r="V3" s="77" t="s">
        <v>543</v>
      </c>
      <c r="W3" s="77" t="s">
        <v>553</v>
      </c>
      <c r="X3" s="77" t="n">
        <v>2019</v>
      </c>
      <c r="Y3" s="79" t="str">
        <f aca="false">CONCATENATE(V3,CHAR(10),W3,CHAR(10),X3," года")</f>
        <v>Отлично 
27 июня
2019 года</v>
      </c>
      <c r="Z3" s="77" t="s">
        <v>562</v>
      </c>
      <c r="AA3" s="77" t="s">
        <v>563</v>
      </c>
      <c r="AB3" s="77" t="s">
        <v>564</v>
      </c>
      <c r="AC3" s="79" t="str">
        <f aca="false">CONCATENATE(AA3,CHAR(10),AB3)</f>
        <v>Леденев В.В., доктор технических наук, профессор, профессор кафедры «Конструкции зданий и сооружений», заместитель председателя комиссии
Леденев В.И., доктор технических наук, профессор, профессор кафедры «Городское строительство и автомобильные дороги»</v>
      </c>
    </row>
    <row r="4" customFormat="false" ht="257.25" hidden="false" customHeight="false" outlineLevel="0" collapsed="false">
      <c r="A4" s="80" t="s">
        <v>410</v>
      </c>
      <c r="B4" s="81" t="s">
        <v>33</v>
      </c>
      <c r="C4" s="82" t="s">
        <v>543</v>
      </c>
      <c r="D4" s="82" t="s">
        <v>544</v>
      </c>
      <c r="E4" s="82" t="n">
        <v>2017</v>
      </c>
      <c r="F4" s="81" t="str">
        <f aca="false">CONCATENATE(C4,CHAR(10),D4,CHAR(10),E4," года")</f>
        <v>Отлично 
24 января
2017 года</v>
      </c>
      <c r="G4" s="82" t="s">
        <v>545</v>
      </c>
      <c r="H4" s="82" t="s">
        <v>546</v>
      </c>
      <c r="I4" s="82" t="s">
        <v>557</v>
      </c>
      <c r="J4" s="81" t="str">
        <f aca="false">CONCATENATE(H4,CHAR(10),I4)</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4" s="83" t="s">
        <v>548</v>
      </c>
      <c r="L4" s="82" t="s">
        <v>543</v>
      </c>
      <c r="M4" s="82" t="s">
        <v>558</v>
      </c>
      <c r="N4" s="82" t="n">
        <v>2017</v>
      </c>
      <c r="O4" s="83" t="str">
        <f aca="false">CONCATENATE(L4,CHAR(10),M4,CHAR(10),N4," года")</f>
        <v>Отлично 
20 июня
2017 года</v>
      </c>
      <c r="P4" s="82" t="s">
        <v>550</v>
      </c>
      <c r="Q4" s="82" t="s">
        <v>551</v>
      </c>
      <c r="R4" s="82" t="s">
        <v>552</v>
      </c>
      <c r="S4" s="82" t="s">
        <v>565</v>
      </c>
      <c r="T4" s="83" t="str">
        <f aca="false">CONCATENATE(Q4,CHAR(10),R4,CHAR(10),S4)</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Монастырев П.В., доктор технических наук, доцент, директор института архитектуры, строительства и транспорта</v>
      </c>
      <c r="U4" s="84" t="str">
        <f aca="false">VLOOKUP(A4,'БД направление'!$A:$H,8,0)</f>
        <v>Строительные конструкции, здания и сооружения</v>
      </c>
      <c r="V4" s="82" t="s">
        <v>543</v>
      </c>
      <c r="W4" s="82" t="s">
        <v>553</v>
      </c>
      <c r="X4" s="82" t="n">
        <v>2019</v>
      </c>
      <c r="Y4" s="84" t="str">
        <f aca="false">CONCATENATE(V4,CHAR(10),W4,CHAR(10),X4," года")</f>
        <v>Отлично 
27 июня
2019 года</v>
      </c>
      <c r="Z4" s="82" t="s">
        <v>562</v>
      </c>
      <c r="AA4" s="82" t="s">
        <v>563</v>
      </c>
      <c r="AB4" s="82" t="s">
        <v>564</v>
      </c>
      <c r="AC4" s="84" t="str">
        <f aca="false">CONCATENATE(AA4,CHAR(10),AB4)</f>
        <v>Леденев В.В., доктор технических наук, профессор, профессор кафедры «Конструкции зданий и сооружений», заместитель председателя комиссии
Леденев В.И., доктор технических наук, профессор, профессор кафедры «Городское строительство и автомобильные дороги»</v>
      </c>
    </row>
    <row r="5" customFormat="false" ht="257.25" hidden="false" customHeight="false" outlineLevel="0" collapsed="false">
      <c r="A5" s="75" t="s">
        <v>412</v>
      </c>
      <c r="B5" s="76" t="s">
        <v>33</v>
      </c>
      <c r="C5" s="77" t="s">
        <v>543</v>
      </c>
      <c r="D5" s="77" t="s">
        <v>544</v>
      </c>
      <c r="E5" s="77" t="n">
        <v>2017</v>
      </c>
      <c r="F5" s="76" t="str">
        <f aca="false">CONCATENATE(C5,CHAR(10),D5,CHAR(10),E5," года")</f>
        <v>Отлично 
24 января
2017 года</v>
      </c>
      <c r="G5" s="77" t="s">
        <v>545</v>
      </c>
      <c r="H5" s="77" t="s">
        <v>546</v>
      </c>
      <c r="I5" s="77" t="s">
        <v>557</v>
      </c>
      <c r="J5" s="76" t="str">
        <f aca="false">CONCATENATE(H5,CHAR(10),I5)</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5" s="78" t="s">
        <v>548</v>
      </c>
      <c r="L5" s="77" t="s">
        <v>543</v>
      </c>
      <c r="M5" s="77" t="s">
        <v>558</v>
      </c>
      <c r="N5" s="77" t="n">
        <v>2017</v>
      </c>
      <c r="O5" s="78" t="str">
        <f aca="false">CONCATENATE(L5,CHAR(10),M5,CHAR(10),N5," года")</f>
        <v>Отлично 
20 июня
2017 года</v>
      </c>
      <c r="P5" s="77" t="s">
        <v>550</v>
      </c>
      <c r="Q5" s="77" t="s">
        <v>551</v>
      </c>
      <c r="R5" s="77" t="s">
        <v>552</v>
      </c>
      <c r="S5" s="77" t="s">
        <v>565</v>
      </c>
      <c r="T5" s="78" t="str">
        <f aca="false">CONCATENATE(Q5,CHAR(10),R5,CHAR(10),S5)</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Монастырев П.В., доктор технических наук, доцент, директор института архитектуры, строительства и транспорта</v>
      </c>
      <c r="U5" s="79" t="str">
        <f aca="false">VLOOKUP(A5,'БД направление'!$A:$H,8,0)</f>
        <v>Строительные материалы и изделия</v>
      </c>
      <c r="V5" s="77" t="s">
        <v>543</v>
      </c>
      <c r="W5" s="77" t="s">
        <v>566</v>
      </c>
      <c r="X5" s="77" t="n">
        <v>2019</v>
      </c>
      <c r="Y5" s="79" t="str">
        <f aca="false">CONCATENATE(V5,CHAR(10),W5,CHAR(10),X5," года")</f>
        <v>Отлично 
28 июня
2019 года</v>
      </c>
      <c r="Z5" s="77" t="s">
        <v>562</v>
      </c>
      <c r="AA5" s="77" t="s">
        <v>563</v>
      </c>
      <c r="AB5" s="77" t="s">
        <v>565</v>
      </c>
      <c r="AC5" s="79" t="str">
        <f aca="false">CONCATENATE(AA5,CHAR(10),AB5)</f>
        <v>Леденев В.В., доктор технических наук, профессор, профессор кафедры «Конструкции зданий и сооружений», заместитель председателя комиссии
Монастырев П.В., доктор технических наук, доцент, директор института архитектуры, строительства и транспорта</v>
      </c>
    </row>
    <row r="6" customFormat="false" ht="258.75" hidden="false" customHeight="false" outlineLevel="0" collapsed="false">
      <c r="A6" s="85" t="s">
        <v>414</v>
      </c>
      <c r="B6" s="86" t="s">
        <v>33</v>
      </c>
      <c r="C6" s="77" t="s">
        <v>543</v>
      </c>
      <c r="D6" s="77" t="s">
        <v>567</v>
      </c>
      <c r="E6" s="77" t="n">
        <v>2017</v>
      </c>
      <c r="F6" s="86" t="str">
        <f aca="false">CONCATENATE(C6,CHAR(10),D6,CHAR(10),E6," года")</f>
        <v>Отлично 
25 января
2017 года</v>
      </c>
      <c r="G6" s="77" t="s">
        <v>545</v>
      </c>
      <c r="H6" s="77" t="s">
        <v>546</v>
      </c>
      <c r="I6" s="77" t="s">
        <v>557</v>
      </c>
      <c r="J6" s="86" t="str">
        <f aca="false">CONCATENATE(H6,CHAR(10),I6)</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6" s="87" t="s">
        <v>548</v>
      </c>
      <c r="L6" s="77" t="s">
        <v>543</v>
      </c>
      <c r="M6" s="77" t="s">
        <v>558</v>
      </c>
      <c r="N6" s="77" t="n">
        <v>2017</v>
      </c>
      <c r="O6" s="87" t="str">
        <f aca="false">CONCATENATE(L6,CHAR(10),M6,CHAR(10),N6," года")</f>
        <v>Отлично 
20 июня
2017 года</v>
      </c>
      <c r="P6" s="88" t="s">
        <v>550</v>
      </c>
      <c r="Q6" s="88" t="s">
        <v>551</v>
      </c>
      <c r="R6" s="88" t="s">
        <v>552</v>
      </c>
      <c r="S6" s="88" t="s">
        <v>568</v>
      </c>
      <c r="T6" s="87" t="str">
        <f aca="false">CONCATENATE(Q6,CHAR(10),R6,CHAR(10),S6)</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Иванова О.Г., кандидат технических наук, доцент, профессор кафедры «Информационные системы и защита информации»</v>
      </c>
      <c r="U6" s="89" t="str">
        <f aca="false">VLOOKUP(A6,'БД направление'!$A:$H,8,0)</f>
        <v>Информационные системы и процессы</v>
      </c>
      <c r="V6" s="77" t="s">
        <v>543</v>
      </c>
      <c r="Y6" s="89" t="str">
        <f aca="false">CONCATENATE(V6,CHAR(10),W6,CHAR(10),X6," года")</f>
        <v>Отлично 
 года</v>
      </c>
      <c r="Z6" s="88" t="s">
        <v>45</v>
      </c>
      <c r="AA6" s="88" t="s">
        <v>569</v>
      </c>
      <c r="AB6" s="88" t="s">
        <v>570</v>
      </c>
      <c r="AC6" s="89" t="str">
        <f aca="false">CONCATENATE(AA6,CHAR(10),AB6)</f>
        <v>Тютюнник В.М., доктор технических наук, профессор, профессор кафедры «Конструирование радиоэлектронных и микропроцессорных систем», заместитель председателя комиссии
Дидрих В.Е., доктор технических наук, профессор, профессор кафедры «Информационные системы и защита информации»</v>
      </c>
    </row>
    <row r="7" customFormat="false" ht="258.75" hidden="false" customHeight="false" outlineLevel="0" collapsed="false">
      <c r="A7" s="75" t="s">
        <v>416</v>
      </c>
      <c r="B7" s="76" t="s">
        <v>33</v>
      </c>
      <c r="C7" s="77" t="s">
        <v>571</v>
      </c>
      <c r="D7" s="77" t="s">
        <v>567</v>
      </c>
      <c r="E7" s="77" t="n">
        <v>2017</v>
      </c>
      <c r="F7" s="76" t="str">
        <f aca="false">CONCATENATE(C7,CHAR(10),D7,CHAR(10),E7," года")</f>
        <v>Хорошо
25 января
2017 года</v>
      </c>
      <c r="G7" s="77" t="s">
        <v>545</v>
      </c>
      <c r="H7" s="77" t="s">
        <v>546</v>
      </c>
      <c r="I7" s="77" t="s">
        <v>557</v>
      </c>
      <c r="J7" s="76" t="str">
        <f aca="false">CONCATENATE(H7,CHAR(10),I7)</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7" s="78" t="s">
        <v>548</v>
      </c>
      <c r="L7" s="77" t="s">
        <v>543</v>
      </c>
      <c r="M7" s="77" t="s">
        <v>558</v>
      </c>
      <c r="N7" s="77" t="n">
        <v>2017</v>
      </c>
      <c r="O7" s="78" t="str">
        <f aca="false">CONCATENATE(L7,CHAR(10),M7,CHAR(10),N7," года")</f>
        <v>Отлично 
20 июня
2017 года</v>
      </c>
      <c r="P7" s="77" t="s">
        <v>550</v>
      </c>
      <c r="Q7" s="77" t="s">
        <v>559</v>
      </c>
      <c r="R7" s="77" t="s">
        <v>560</v>
      </c>
      <c r="S7" s="77" t="s">
        <v>561</v>
      </c>
      <c r="T7" s="78" t="str">
        <f aca="false">CONCATENATE(Q7,CHAR(10),R7,CHAR(10),S7)</f>
        <v>Бородулина Н.Ю., доктор филологических наук, доцент, профессор кафедры «Иностранных языков», заместитель председателя комиссии
Гуляева Е.А., кандидат педагогических наук, доцент, доцент кафедры «Иностранных языков»
Червяков В.М., доктор технических наук, доцент, профессор кафедры «Техническая механика и детали машин»</v>
      </c>
      <c r="U7" s="79" t="str">
        <f aca="false">VLOOKUP(A7,'БД направление'!$A:$H,8,0)</f>
        <v>Информационные системы и процессы</v>
      </c>
      <c r="V7" s="77" t="s">
        <v>571</v>
      </c>
      <c r="Y7" s="79" t="str">
        <f aca="false">CONCATENATE(V7,CHAR(10),W7,CHAR(10),X7," года")</f>
        <v>Хорошо
 года</v>
      </c>
      <c r="Z7" s="88" t="s">
        <v>45</v>
      </c>
      <c r="AA7" s="88" t="s">
        <v>569</v>
      </c>
      <c r="AB7" s="88" t="s">
        <v>570</v>
      </c>
      <c r="AC7" s="79" t="str">
        <f aca="false">CONCATENATE(AA7,CHAR(10),AB7)</f>
        <v>Тютюнник В.М., доктор технических наук, профессор, профессор кафедры «Конструирование радиоэлектронных и микропроцессорных систем», заместитель председателя комиссии
Дидрих В.Е., доктор технических наук, профессор, профессор кафедры «Информационные системы и защита информации»</v>
      </c>
    </row>
    <row r="8" customFormat="false" ht="258.75" hidden="false" customHeight="false" outlineLevel="0" collapsed="false">
      <c r="A8" s="75" t="s">
        <v>418</v>
      </c>
      <c r="B8" s="76" t="s">
        <v>33</v>
      </c>
      <c r="C8" s="77" t="s">
        <v>571</v>
      </c>
      <c r="D8" s="77" t="s">
        <v>567</v>
      </c>
      <c r="E8" s="77" t="n">
        <v>2017</v>
      </c>
      <c r="F8" s="76" t="str">
        <f aca="false">CONCATENATE(C8,CHAR(10),D8,CHAR(10),E8," года")</f>
        <v>Хорошо
25 января
2017 года</v>
      </c>
      <c r="G8" s="77" t="s">
        <v>545</v>
      </c>
      <c r="H8" s="77" t="s">
        <v>546</v>
      </c>
      <c r="I8" s="77" t="s">
        <v>557</v>
      </c>
      <c r="J8" s="76" t="str">
        <f aca="false">CONCATENATE(H8,CHAR(10),I8)</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8" s="78" t="s">
        <v>548</v>
      </c>
      <c r="L8" s="77" t="s">
        <v>543</v>
      </c>
      <c r="M8" s="77" t="s">
        <v>572</v>
      </c>
      <c r="N8" s="77" t="n">
        <v>2017</v>
      </c>
      <c r="O8" s="78" t="str">
        <f aca="false">CONCATENATE(L8,CHAR(10),M8,CHAR(10),N8," года")</f>
        <v>Отлично 
21 июня
2017 года</v>
      </c>
      <c r="P8" s="77" t="s">
        <v>550</v>
      </c>
      <c r="Q8" s="77" t="s">
        <v>551</v>
      </c>
      <c r="R8" s="77" t="s">
        <v>552</v>
      </c>
      <c r="S8" s="77" t="s">
        <v>568</v>
      </c>
      <c r="T8" s="78" t="str">
        <f aca="false">CONCATENATE(Q8,CHAR(10),R8,CHAR(10),S8)</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Иванова О.Г., кандидат технических наук, доцент, профессор кафедры «Информационные системы и защита информации»</v>
      </c>
      <c r="U8" s="79" t="str">
        <f aca="false">VLOOKUP(A8,'БД направление'!$A:$H,8,0)</f>
        <v>Информационные системы и процессы</v>
      </c>
      <c r="V8" s="77" t="s">
        <v>543</v>
      </c>
      <c r="Y8" s="79" t="str">
        <f aca="false">CONCATENATE(V8,CHAR(10),W8,CHAR(10),X8," года")</f>
        <v>Отлично 
 года</v>
      </c>
      <c r="Z8" s="88" t="s">
        <v>45</v>
      </c>
      <c r="AA8" s="88" t="s">
        <v>569</v>
      </c>
      <c r="AB8" s="88" t="s">
        <v>570</v>
      </c>
      <c r="AC8" s="79" t="str">
        <f aca="false">CONCATENATE(AA8,CHAR(10),AB8)</f>
        <v>Тютюнник В.М., доктор технических наук, профессор, профессор кафедры «Конструирование радиоэлектронных и микропроцессорных систем», заместитель председателя комиссии
Дидрих В.Е., доктор технических наук, профессор, профессор кафедры «Информационные системы и защита информации»</v>
      </c>
    </row>
    <row r="9" customFormat="false" ht="257.25" hidden="false" customHeight="false" outlineLevel="0" collapsed="false">
      <c r="A9" s="75" t="s">
        <v>420</v>
      </c>
      <c r="B9" s="76" t="s">
        <v>33</v>
      </c>
      <c r="C9" s="77" t="s">
        <v>571</v>
      </c>
      <c r="D9" s="77" t="s">
        <v>573</v>
      </c>
      <c r="E9" s="77" t="n">
        <v>2017</v>
      </c>
      <c r="F9" s="76" t="str">
        <f aca="false">CONCATENATE(C9,CHAR(10),D9,CHAR(10),E9," года")</f>
        <v>Хорошо
26 января
2017 года</v>
      </c>
      <c r="G9" s="77" t="s">
        <v>545</v>
      </c>
      <c r="H9" s="77" t="s">
        <v>546</v>
      </c>
      <c r="I9" s="77" t="s">
        <v>557</v>
      </c>
      <c r="J9" s="76" t="str">
        <f aca="false">CONCATENATE(H9,CHAR(10),I9)</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9" s="78" t="s">
        <v>548</v>
      </c>
      <c r="L9" s="77" t="s">
        <v>543</v>
      </c>
      <c r="M9" s="77" t="s">
        <v>572</v>
      </c>
      <c r="N9" s="77" t="n">
        <v>2017</v>
      </c>
      <c r="O9" s="78" t="str">
        <f aca="false">CONCATENATE(L9,CHAR(10),M9,CHAR(10),N9," года")</f>
        <v>Отлично 
21 июня
2017 года</v>
      </c>
      <c r="P9" s="77" t="s">
        <v>550</v>
      </c>
      <c r="Q9" s="77" t="s">
        <v>574</v>
      </c>
      <c r="R9" s="77" t="s">
        <v>575</v>
      </c>
      <c r="S9" s="77" t="s">
        <v>95</v>
      </c>
      <c r="T9" s="78" t="str">
        <f aca="false">CONCATENATE(Q9,CHAR(10),R9,CHAR(10),S9)</f>
        <v>Григорьева В.С., кандидат филологических наук, доцент, профессор кафедры «Иностранных языков», заместитель председателя комиссии
Чеботарева Г.Н., кандидат филологических наук, ст. преподаватель кафедры «Международная профессиональная и научная коммуникация»
Фролов С.В., доктор технических наук, профессор, зав. кафедрой «Биомедицинская техника»</v>
      </c>
      <c r="U9" s="79" t="str">
        <f aca="false">VLOOKUP(A9,'БД направление'!$A:$H,8,0)</f>
        <v>Приборы и системы контроля природной среды, веществ, материалов и изделий</v>
      </c>
      <c r="V9" s="77" t="s">
        <v>543</v>
      </c>
      <c r="W9" s="77" t="s">
        <v>576</v>
      </c>
      <c r="X9" s="77" t="n">
        <v>2019</v>
      </c>
      <c r="Y9" s="79" t="str">
        <f aca="false">CONCATENATE(V9,CHAR(10),W9,CHAR(10),X9," года")</f>
        <v>Отлично 
25 июня
2019 года</v>
      </c>
      <c r="Z9" s="77" t="s">
        <v>577</v>
      </c>
      <c r="AA9" s="77" t="s">
        <v>578</v>
      </c>
      <c r="AB9" s="77" t="s">
        <v>579</v>
      </c>
      <c r="AC9" s="79" t="str">
        <f aca="false">CONCATENATE(AA9,CHAR(10),AB9)</f>
        <v>Пономарев С.В., доктор технических наук, профессор, профессор кафедры «Мехатроника и технологические измерения», заместитель председателя комиссии
Балабанов П.В., доктор технических наук, доцент, доцент кафедры «Мехатроника и технологические измерения»</v>
      </c>
    </row>
    <row r="10" customFormat="false" ht="261" hidden="false" customHeight="false" outlineLevel="0" collapsed="false">
      <c r="A10" s="80" t="s">
        <v>422</v>
      </c>
      <c r="B10" s="81" t="s">
        <v>33</v>
      </c>
      <c r="C10" s="82" t="s">
        <v>543</v>
      </c>
      <c r="D10" s="82" t="s">
        <v>573</v>
      </c>
      <c r="E10" s="82" t="n">
        <v>2017</v>
      </c>
      <c r="F10" s="81" t="str">
        <f aca="false">CONCATENATE(C10,CHAR(10),D10,CHAR(10),E10," года")</f>
        <v>Отлично 
26 января
2017 года</v>
      </c>
      <c r="G10" s="82" t="s">
        <v>545</v>
      </c>
      <c r="H10" s="82" t="s">
        <v>546</v>
      </c>
      <c r="I10" s="82" t="s">
        <v>557</v>
      </c>
      <c r="J10" s="81" t="str">
        <f aca="false">CONCATENATE(H10,CHAR(10),I10)</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10" s="83" t="s">
        <v>548</v>
      </c>
      <c r="L10" s="82" t="s">
        <v>543</v>
      </c>
      <c r="M10" s="82" t="s">
        <v>572</v>
      </c>
      <c r="N10" s="82" t="n">
        <v>2017</v>
      </c>
      <c r="O10" s="83" t="str">
        <f aca="false">CONCATENATE(L10,CHAR(10),M10,CHAR(10),N10," года")</f>
        <v>Отлично 
21 июня
2017 года</v>
      </c>
      <c r="P10" s="82" t="s">
        <v>550</v>
      </c>
      <c r="Q10" s="82" t="s">
        <v>551</v>
      </c>
      <c r="R10" s="82" t="s">
        <v>552</v>
      </c>
      <c r="S10" s="82" t="s">
        <v>110</v>
      </c>
      <c r="T10" s="83" t="str">
        <f aca="false">CONCATENATE(Q10,CHAR(10),R10,CHAR(10),S10)</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Пономарев С.В., доктор технических наук, профессор, профессор кафедры «Мехатроника и технологические измерения»</v>
      </c>
      <c r="U10" s="84" t="str">
        <f aca="false">VLOOKUP(A10,'БД направление'!$A:$H,8,0)</f>
        <v>Приборы, системы, изделия медицинского назначения</v>
      </c>
      <c r="V10" s="82" t="s">
        <v>543</v>
      </c>
      <c r="Y10" s="84" t="str">
        <f aca="false">CONCATENATE(V10,CHAR(10),W10,CHAR(10),X10," года")</f>
        <v>Отлично 
 года</v>
      </c>
      <c r="Z10" s="82" t="s">
        <v>95</v>
      </c>
      <c r="AA10" s="82" t="s">
        <v>580</v>
      </c>
      <c r="AB10" s="82" t="s">
        <v>99</v>
      </c>
      <c r="AC10" s="84" t="str">
        <f aca="false">CONCATENATE(AA10,CHAR(10),AB10)</f>
        <v>Проскурин С.Г., доктор технических наук, доцент, доцент кафедры «Биомедицинская техника», заместитель председателя комиссии
Дубровин В.В., кандидат технических наук, доцент, доцент кафедры «Биомедицинская техника»</v>
      </c>
    </row>
    <row r="11" customFormat="false" ht="409.5" hidden="false" customHeight="false" outlineLevel="0" collapsed="false">
      <c r="A11" s="75" t="s">
        <v>424</v>
      </c>
      <c r="B11" s="76" t="s">
        <v>33</v>
      </c>
      <c r="C11" s="77" t="s">
        <v>543</v>
      </c>
      <c r="D11" s="77" t="s">
        <v>581</v>
      </c>
      <c r="E11" s="77" t="n">
        <v>2016</v>
      </c>
      <c r="F11" s="76" t="str">
        <f aca="false">CONCATENATE(C11,CHAR(10),D11,CHAR(10),E11," года")</f>
        <v>Отлично 
18 января
2016 года</v>
      </c>
      <c r="G11" s="77" t="s">
        <v>582</v>
      </c>
      <c r="H11" s="77" t="s">
        <v>583</v>
      </c>
      <c r="I11" s="77" t="s">
        <v>584</v>
      </c>
      <c r="J11" s="76" t="str">
        <f aca="false">CONCATENATE(H11,CHAR(10),I11)</f>
        <v>Юдин А.И., доктор философских наук, профессор, профессор кафедры «История и философия»,  заместитель председателя комиссии
Самохин К.В., кандидат исторических наук, доцент, доцент кафедры «История и философия»
Терехова Г.Л., кандидат философских наук, доцент, доцент кафедры «История и философия»</v>
      </c>
      <c r="K11" s="78" t="s">
        <v>548</v>
      </c>
      <c r="L11" s="77" t="s">
        <v>543</v>
      </c>
      <c r="M11" s="77" t="s">
        <v>572</v>
      </c>
      <c r="N11" s="77" t="n">
        <v>2016</v>
      </c>
      <c r="O11" s="78" t="str">
        <f aca="false">CONCATENATE(L11,CHAR(10),M11,CHAR(10),N11," года")</f>
        <v>Отлично 
21 июня
2016 года</v>
      </c>
      <c r="P11" s="77" t="s">
        <v>550</v>
      </c>
      <c r="Q11" s="77" t="s">
        <v>551</v>
      </c>
      <c r="R11" s="77" t="s">
        <v>552</v>
      </c>
      <c r="S11" s="77" t="s">
        <v>110</v>
      </c>
      <c r="T11" s="78" t="str">
        <f aca="false">CONCATENATE(Q11,CHAR(10),R11,CHAR(10),S11)</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Пономарев С.В., доктор технических наук, профессор, профессор кафедры «Мехатроника и технологические измерения»</v>
      </c>
      <c r="U11" s="79" t="str">
        <f aca="false">VLOOKUP(A11,'БД направление'!$A:$H,8,0)</f>
        <v>Информационно-измерительные и управляющие системы</v>
      </c>
      <c r="V11" s="77" t="s">
        <v>543</v>
      </c>
      <c r="W11" s="77" t="s">
        <v>576</v>
      </c>
      <c r="X11" s="77" t="n">
        <v>2019</v>
      </c>
      <c r="Y11" s="79" t="str">
        <f aca="false">CONCATENATE(V11,CHAR(10),W11,CHAR(10),X11," года")</f>
        <v>Отлично 
25 июня
2019 года</v>
      </c>
      <c r="Z11" s="77" t="s">
        <v>582</v>
      </c>
      <c r="AA11" s="77" t="s">
        <v>585</v>
      </c>
      <c r="AB11" s="77" t="s">
        <v>586</v>
      </c>
      <c r="AC11" s="79" t="str">
        <f aca="false">CONCATENATE(AA11,CHAR(10),AB11)</f>
        <v>Селиванова З.М., доктор технических наук, профессор, профессор кафедры «Конструирование радиоэлектронных и микропроцессорных систем», заместитель председателя комиссии
Павлов В.И., доктор технических наук, профессор, профессор кафедры «Конструирование радиоэлектронных и микропроцессорных систем»</v>
      </c>
    </row>
    <row r="12" customFormat="false" ht="258.75" hidden="false" customHeight="false" outlineLevel="0" collapsed="false">
      <c r="A12" s="75" t="s">
        <v>428</v>
      </c>
      <c r="B12" s="76" t="s">
        <v>33</v>
      </c>
      <c r="C12" s="77" t="s">
        <v>543</v>
      </c>
      <c r="D12" s="77" t="s">
        <v>573</v>
      </c>
      <c r="E12" s="77" t="n">
        <v>2017</v>
      </c>
      <c r="F12" s="76" t="str">
        <f aca="false">CONCATENATE(C12,CHAR(10),D12,CHAR(10),E12," года")</f>
        <v>Отлично 
26 января
2017 года</v>
      </c>
      <c r="G12" s="77" t="s">
        <v>545</v>
      </c>
      <c r="H12" s="77" t="s">
        <v>546</v>
      </c>
      <c r="I12" s="77" t="s">
        <v>557</v>
      </c>
      <c r="J12" s="76" t="str">
        <f aca="false">CONCATENATE(H12,CHAR(10),I12)</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12" s="78" t="s">
        <v>548</v>
      </c>
      <c r="L12" s="77" t="s">
        <v>543</v>
      </c>
      <c r="M12" s="77" t="s">
        <v>572</v>
      </c>
      <c r="N12" s="77" t="n">
        <v>2017</v>
      </c>
      <c r="O12" s="78" t="str">
        <f aca="false">CONCATENATE(L12,CHAR(10),M12,CHAR(10),N12," года")</f>
        <v>Отлично 
21 июня
2017 года</v>
      </c>
      <c r="P12" s="77" t="s">
        <v>550</v>
      </c>
      <c r="Q12" s="77" t="s">
        <v>551</v>
      </c>
      <c r="R12" s="77" t="s">
        <v>552</v>
      </c>
      <c r="S12" s="77" t="s">
        <v>110</v>
      </c>
      <c r="T12" s="78" t="str">
        <f aca="false">CONCATENATE(Q12,CHAR(10),R12,CHAR(10),S12)</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Пономарев С.В., доктор технических наук, профессор, профессор кафедры «Мехатроника и технологические измерения»</v>
      </c>
      <c r="U12" s="79" t="str">
        <f aca="false">VLOOKUP(A12,'БД направление'!$A:$H,8,0)</f>
        <v>Информационно-измерительные и управляющие системы</v>
      </c>
      <c r="V12" s="77" t="s">
        <v>543</v>
      </c>
      <c r="W12" s="77" t="s">
        <v>576</v>
      </c>
      <c r="X12" s="77" t="n">
        <v>2019</v>
      </c>
      <c r="Y12" s="79" t="str">
        <f aca="false">CONCATENATE(V12,CHAR(10),W12,CHAR(10),X12," года")</f>
        <v>Отлично 
25 июня
2019 года</v>
      </c>
      <c r="Z12" s="77" t="s">
        <v>582</v>
      </c>
      <c r="AA12" s="77" t="s">
        <v>585</v>
      </c>
      <c r="AB12" s="77" t="s">
        <v>586</v>
      </c>
      <c r="AC12" s="79" t="str">
        <f aca="false">CONCATENATE(AA12,CHAR(10),AB12)</f>
        <v>Селиванова З.М., доктор технических наук, профессор, профессор кафедры «Конструирование радиоэлектронных и микропроцессорных систем», заместитель председателя комиссии
Павлов В.И., доктор технических наук, профессор, профессор кафедры «Конструирование радиоэлектронных и микропроцессорных систем»</v>
      </c>
    </row>
    <row r="13" customFormat="false" ht="257.25" hidden="false" customHeight="false" outlineLevel="0" collapsed="false">
      <c r="A13" s="85" t="s">
        <v>430</v>
      </c>
      <c r="B13" s="86" t="s">
        <v>33</v>
      </c>
      <c r="C13" s="77" t="s">
        <v>543</v>
      </c>
      <c r="D13" s="77" t="s">
        <v>573</v>
      </c>
      <c r="E13" s="77" t="n">
        <v>2017</v>
      </c>
      <c r="F13" s="86" t="str">
        <f aca="false">CONCATENATE(C13,CHAR(10),D13,CHAR(10),E13," года")</f>
        <v>Отлично 
26 января
2017 года</v>
      </c>
      <c r="G13" s="88" t="s">
        <v>545</v>
      </c>
      <c r="H13" s="88" t="s">
        <v>546</v>
      </c>
      <c r="I13" s="77" t="s">
        <v>557</v>
      </c>
      <c r="J13" s="86" t="str">
        <f aca="false">CONCATENATE(H13,CHAR(10),I13)</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13" s="87" t="s">
        <v>548</v>
      </c>
      <c r="L13" s="77" t="s">
        <v>543</v>
      </c>
      <c r="M13" s="77" t="s">
        <v>572</v>
      </c>
      <c r="N13" s="77" t="n">
        <v>2017</v>
      </c>
      <c r="O13" s="87" t="str">
        <f aca="false">CONCATENATE(L13,CHAR(10),M13,CHAR(10),N13," года")</f>
        <v>Отлично 
21 июня
2017 года</v>
      </c>
      <c r="P13" s="88" t="s">
        <v>550</v>
      </c>
      <c r="Q13" s="88" t="s">
        <v>551</v>
      </c>
      <c r="R13" s="88" t="s">
        <v>552</v>
      </c>
      <c r="S13" s="88" t="s">
        <v>587</v>
      </c>
      <c r="T13" s="87" t="str">
        <f aca="false">CONCATENATE(Q13,CHAR(10),R13,CHAR(10),S13)</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Соколов М.В.,  доктор технических наук, доцент, профессор кафедры «Компьютерно-интегрированные системы в машиностроении»</v>
      </c>
      <c r="U13" s="89" t="str">
        <f aca="false">VLOOKUP(A13,'БД направление'!$A:$H,8,0)</f>
        <v>Машины, агрегаты и процессы</v>
      </c>
      <c r="V13" s="77" t="s">
        <v>543</v>
      </c>
      <c r="W13" s="77" t="s">
        <v>588</v>
      </c>
      <c r="X13" s="77" t="n">
        <v>2019</v>
      </c>
      <c r="Y13" s="89" t="str">
        <f aca="false">CONCATENATE(V13,CHAR(10),W13,CHAR(10),X13," года")</f>
        <v>Отлично 
26 июня
2019 года</v>
      </c>
      <c r="Z13" s="88" t="s">
        <v>138</v>
      </c>
      <c r="AA13" s="88" t="s">
        <v>589</v>
      </c>
      <c r="AB13" s="88" t="s">
        <v>590</v>
      </c>
      <c r="AC13" s="89" t="str">
        <f aca="false">CONCATENATE(AA13,CHAR(10),AB13)</f>
        <v>Першин В.Ф., доктор технических наук, профессор, профессор кафедры  «Техника и технологии производства нанопродуктов», заместитель председателя комиссии
Промтов М.А., доктор технических наук, профессор, профессор кафедры  «Технологические процессы, аппараты и техносферная безопасность»</v>
      </c>
    </row>
    <row r="14" customFormat="false" ht="261" hidden="false" customHeight="false" outlineLevel="0" collapsed="false">
      <c r="A14" s="75" t="s">
        <v>432</v>
      </c>
      <c r="B14" s="76" t="s">
        <v>33</v>
      </c>
      <c r="C14" s="77" t="s">
        <v>543</v>
      </c>
      <c r="D14" s="77" t="s">
        <v>591</v>
      </c>
      <c r="E14" s="77" t="n">
        <v>2017</v>
      </c>
      <c r="F14" s="76" t="str">
        <f aca="false">CONCATENATE(C14,CHAR(10),D14,CHAR(10),E14," года")</f>
        <v>Отлично 
27 января
2017 года</v>
      </c>
      <c r="G14" s="77" t="s">
        <v>545</v>
      </c>
      <c r="H14" s="77" t="s">
        <v>546</v>
      </c>
      <c r="I14" s="77" t="s">
        <v>557</v>
      </c>
      <c r="J14" s="76" t="str">
        <f aca="false">CONCATENATE(H14,CHAR(10),I14)</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14" s="78" t="s">
        <v>548</v>
      </c>
      <c r="L14" s="77" t="s">
        <v>571</v>
      </c>
      <c r="M14" s="77" t="s">
        <v>549</v>
      </c>
      <c r="N14" s="77" t="n">
        <v>2017</v>
      </c>
      <c r="O14" s="78" t="str">
        <f aca="false">CONCATENATE(L14,CHAR(10),M14,CHAR(10),N14," года")</f>
        <v>Хорошо
22 июня
2017 года</v>
      </c>
      <c r="P14" s="77" t="s">
        <v>550</v>
      </c>
      <c r="Q14" s="77" t="s">
        <v>551</v>
      </c>
      <c r="R14" s="77" t="s">
        <v>552</v>
      </c>
      <c r="S14" s="77" t="s">
        <v>592</v>
      </c>
      <c r="T14" s="78" t="str">
        <f aca="false">CONCATENATE(Q14,CHAR(10),R14,CHAR(10),S14)</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Пахомов А.Н., кандидат технических наук, доцент, доцент кафедры «Технологические процессы, аппараты и техносферная безопасность»</v>
      </c>
      <c r="U14" s="79" t="str">
        <f aca="false">VLOOKUP(A14,'БД направление'!$A:$H,8,0)</f>
        <v>Процессы и аппараты химической технологии</v>
      </c>
      <c r="V14" s="77" t="s">
        <v>543</v>
      </c>
      <c r="W14" s="77" t="s">
        <v>588</v>
      </c>
      <c r="X14" s="77" t="n">
        <v>2019</v>
      </c>
      <c r="Y14" s="79" t="str">
        <f aca="false">CONCATENATE(V14,CHAR(10),W14,CHAR(10),X14," года")</f>
        <v>Отлично 
26 июня
2019 года</v>
      </c>
      <c r="Z14" s="77" t="s">
        <v>593</v>
      </c>
      <c r="AA14" s="77" t="s">
        <v>594</v>
      </c>
      <c r="AB14" s="77" t="s">
        <v>590</v>
      </c>
      <c r="AC14" s="79" t="str">
        <f aca="false">CONCATENATE(AA14,CHAR(10),AB14)</f>
        <v>Долгунин В.Н., доктор технических наук, профессор, профессор кафедры  «Технологии и оборудование пищевых и химических производств», заместитель председателя комиссии
Промтов М.А., доктор технических наук, профессор, профессор кафедры  «Технологические процессы, аппараты и техносферная безопасность»</v>
      </c>
    </row>
    <row r="15" customFormat="false" ht="261" hidden="false" customHeight="false" outlineLevel="0" collapsed="false">
      <c r="A15" s="75" t="s">
        <v>434</v>
      </c>
      <c r="B15" s="76" t="s">
        <v>33</v>
      </c>
      <c r="C15" s="77" t="s">
        <v>543</v>
      </c>
      <c r="D15" s="77" t="s">
        <v>591</v>
      </c>
      <c r="E15" s="77" t="n">
        <v>2017</v>
      </c>
      <c r="F15" s="76" t="str">
        <f aca="false">CONCATENATE(C15,CHAR(10),D15,CHAR(10),E15," года")</f>
        <v>Отлично 
27 января
2017 года</v>
      </c>
      <c r="G15" s="77" t="s">
        <v>545</v>
      </c>
      <c r="H15" s="77" t="s">
        <v>546</v>
      </c>
      <c r="I15" s="77" t="s">
        <v>557</v>
      </c>
      <c r="J15" s="76" t="str">
        <f aca="false">CONCATENATE(H15,CHAR(10),I15)</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15" s="78" t="s">
        <v>548</v>
      </c>
      <c r="L15" s="77" t="s">
        <v>543</v>
      </c>
      <c r="M15" s="77" t="s">
        <v>572</v>
      </c>
      <c r="N15" s="77" t="n">
        <v>2017</v>
      </c>
      <c r="O15" s="78" t="str">
        <f aca="false">CONCATENATE(L15,CHAR(10),M15,CHAR(10),N15," года")</f>
        <v>Отлично 
21 июня
2017 года</v>
      </c>
      <c r="P15" s="77" t="s">
        <v>550</v>
      </c>
      <c r="Q15" s="77" t="s">
        <v>574</v>
      </c>
      <c r="R15" s="77" t="s">
        <v>575</v>
      </c>
      <c r="S15" s="77" t="s">
        <v>593</v>
      </c>
      <c r="T15" s="78" t="str">
        <f aca="false">CONCATENATE(Q15,CHAR(10),R15,CHAR(10),S15)</f>
        <v>Григорьева В.С., кандидат филологических наук, доцент, профессор кафедры «Иностранных языков», заместитель председателя комиссии
Чеботарева Г.Н., кандидат филологических наук, ст. преподаватель кафедры «Международная профессиональная и научная коммуникация»
Гатапова Н.Ц., доктор технических наук, профессор, зав. кафедрой  «Технологические процессы, аппараты и техносферная безопасность»</v>
      </c>
      <c r="U15" s="79" t="str">
        <f aca="false">VLOOKUP(A15,'БД направление'!$A:$H,8,0)</f>
        <v>Процессы и аппараты химической технологии</v>
      </c>
      <c r="V15" s="77" t="s">
        <v>543</v>
      </c>
      <c r="W15" s="77" t="s">
        <v>588</v>
      </c>
      <c r="X15" s="77" t="n">
        <v>2019</v>
      </c>
      <c r="Y15" s="79" t="str">
        <f aca="false">CONCATENATE(V15,CHAR(10),W15,CHAR(10),X15," года")</f>
        <v>Отлично 
26 июня
2019 года</v>
      </c>
      <c r="Z15" s="77" t="s">
        <v>593</v>
      </c>
      <c r="AA15" s="77" t="s">
        <v>594</v>
      </c>
      <c r="AB15" s="77" t="s">
        <v>590</v>
      </c>
      <c r="AC15" s="79" t="str">
        <f aca="false">CONCATENATE(AA15,CHAR(10),AB15)</f>
        <v>Долгунин В.Н., доктор технических наук, профессор, профессор кафедры  «Технологии и оборудование пищевых и химических производств», заместитель председателя комиссии
Промтов М.А., доктор технических наук, профессор, профессор кафедры  «Технологические процессы, аппараты и техносферная безопасность»</v>
      </c>
    </row>
    <row r="16" customFormat="false" ht="257.25" hidden="false" customHeight="false" outlineLevel="0" collapsed="false">
      <c r="A16" s="75" t="s">
        <v>436</v>
      </c>
      <c r="B16" s="76" t="s">
        <v>33</v>
      </c>
      <c r="C16" s="77" t="s">
        <v>543</v>
      </c>
      <c r="D16" s="77" t="s">
        <v>573</v>
      </c>
      <c r="E16" s="77" t="n">
        <v>2017</v>
      </c>
      <c r="F16" s="76" t="str">
        <f aca="false">CONCATENATE(C16,CHAR(10),D16,CHAR(10),E16," года")</f>
        <v>Отлично 
26 января
2017 года</v>
      </c>
      <c r="G16" s="77" t="s">
        <v>545</v>
      </c>
      <c r="H16" s="77" t="s">
        <v>546</v>
      </c>
      <c r="I16" s="77" t="s">
        <v>557</v>
      </c>
      <c r="J16" s="76" t="str">
        <f aca="false">CONCATENATE(H16,CHAR(10),I16)</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16" s="78" t="s">
        <v>548</v>
      </c>
      <c r="L16" s="77" t="s">
        <v>571</v>
      </c>
      <c r="M16" s="77" t="s">
        <v>549</v>
      </c>
      <c r="N16" s="77" t="n">
        <v>2017</v>
      </c>
      <c r="O16" s="78" t="str">
        <f aca="false">CONCATENATE(L16,CHAR(10),M16,CHAR(10),N16," года")</f>
        <v>Хорошо
22 июня
2017 года</v>
      </c>
      <c r="P16" s="77" t="s">
        <v>550</v>
      </c>
      <c r="Q16" s="77" t="s">
        <v>551</v>
      </c>
      <c r="R16" s="77" t="s">
        <v>552</v>
      </c>
      <c r="S16" s="77" t="s">
        <v>595</v>
      </c>
      <c r="T16" s="78" t="str">
        <f aca="false">CONCATENATE(Q16,CHAR(10),R16,CHAR(10),S16)</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Назаров В.Н., кандидат технических наук, доцент кафедры «Информационные процессы и управление»</v>
      </c>
      <c r="U16" s="79" t="str">
        <f aca="false">VLOOKUP(A16,'БД направление'!$A:$H,8,0)</f>
        <v>Автоматизированное управление технологическими процессами и производствами</v>
      </c>
      <c r="V16" s="77" t="s">
        <v>543</v>
      </c>
      <c r="W16" s="77" t="s">
        <v>596</v>
      </c>
      <c r="X16" s="77" t="n">
        <v>2019</v>
      </c>
      <c r="Y16" s="79" t="str">
        <f aca="false">CONCATENATE(V16,CHAR(10),W16,CHAR(10),X16," года")</f>
        <v>Отлично 
24 июня
2019 года</v>
      </c>
      <c r="Z16" s="77" t="s">
        <v>75</v>
      </c>
      <c r="AA16" s="77" t="s">
        <v>597</v>
      </c>
      <c r="AB16" s="77" t="s">
        <v>79</v>
      </c>
      <c r="AC16" s="79" t="str">
        <f aca="false">CONCATENATE(AA16,CHAR(10),AB16)</f>
        <v>Дмитриевский Б.С., доктор технических наук, доцент, профессор кафедры  «Информационные процессы и управление», заместитель председателя комиссии
Третьяков А.А., кандидат технических наук, доцент, доцент кафедры «Информационные процессы и управление»</v>
      </c>
    </row>
    <row r="17" customFormat="false" ht="257.25" hidden="false" customHeight="false" outlineLevel="0" collapsed="false">
      <c r="A17" s="75" t="s">
        <v>438</v>
      </c>
      <c r="B17" s="76" t="s">
        <v>33</v>
      </c>
      <c r="F17" s="76" t="str">
        <f aca="false">CONCATENATE(C17,CHAR(10),D17,CHAR(10),E17," года")</f>
        <v>года</v>
      </c>
      <c r="G17" s="77" t="s">
        <v>545</v>
      </c>
      <c r="H17" s="77" t="s">
        <v>546</v>
      </c>
      <c r="I17" s="77" t="s">
        <v>547</v>
      </c>
      <c r="J17" s="76" t="str">
        <f aca="false">CONCATENATE(H17,CHAR(10),I17)</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17" s="78" t="s">
        <v>548</v>
      </c>
      <c r="O17" s="78" t="str">
        <f aca="false">CONCATENATE(L17,CHAR(10),M17,CHAR(10),N17," года")</f>
        <v>года</v>
      </c>
      <c r="P17" s="77" t="s">
        <v>550</v>
      </c>
      <c r="Q17" s="77" t="s">
        <v>551</v>
      </c>
      <c r="R17" s="77" t="s">
        <v>552</v>
      </c>
      <c r="S17" s="77" t="s">
        <v>132</v>
      </c>
      <c r="T17" s="78" t="str">
        <f aca="false">CONCATENATE(Q17,CHAR(10),R17,CHAR(10),S17)</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17" s="79" t="str">
        <f aca="false">VLOOKUP(A17,'БД направление'!$A:$H,8,0)</f>
        <v>Нанотехнологии и наноматериалы</v>
      </c>
      <c r="Y17" s="79" t="str">
        <f aca="false">CONCATENATE(V17,CHAR(10),W17,CHAR(10),X17," года")</f>
        <v>года</v>
      </c>
      <c r="Z17" s="77" t="s">
        <v>554</v>
      </c>
      <c r="AA17" s="77" t="s">
        <v>555</v>
      </c>
      <c r="AB17" s="77" t="s">
        <v>132</v>
      </c>
      <c r="AC17" s="79" t="str">
        <f aca="false">CONCATENATE(AA17,CHAR(10),AB17)</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18" customFormat="false" ht="257.25" hidden="false" customHeight="false" outlineLevel="0" collapsed="false">
      <c r="A18" s="75" t="s">
        <v>440</v>
      </c>
      <c r="B18" s="76" t="s">
        <v>33</v>
      </c>
      <c r="F18" s="76" t="str">
        <f aca="false">CONCATENATE(C18,CHAR(10),D18,CHAR(10),E18," года")</f>
        <v>года</v>
      </c>
      <c r="G18" s="77" t="s">
        <v>545</v>
      </c>
      <c r="H18" s="77" t="s">
        <v>546</v>
      </c>
      <c r="I18" s="77" t="s">
        <v>547</v>
      </c>
      <c r="J18" s="76" t="str">
        <f aca="false">CONCATENATE(H18,CHAR(10),I18)</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18" s="78" t="s">
        <v>548</v>
      </c>
      <c r="O18" s="78" t="str">
        <f aca="false">CONCATENATE(L18,CHAR(10),M18,CHAR(10),N18," года")</f>
        <v>года</v>
      </c>
      <c r="P18" s="77" t="s">
        <v>550</v>
      </c>
      <c r="Q18" s="77" t="s">
        <v>551</v>
      </c>
      <c r="R18" s="77" t="s">
        <v>552</v>
      </c>
      <c r="S18" s="77" t="s">
        <v>132</v>
      </c>
      <c r="T18" s="78" t="str">
        <f aca="false">CONCATENATE(Q18,CHAR(10),R18,CHAR(10),S18)</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18" s="79" t="str">
        <f aca="false">VLOOKUP(A18,'БД направление'!$A:$H,8,0)</f>
        <v>Нанотехнологии и наноматериалы</v>
      </c>
      <c r="Y18" s="79" t="str">
        <f aca="false">CONCATENATE(V18,CHAR(10),W18,CHAR(10),X18," года")</f>
        <v>года</v>
      </c>
      <c r="Z18" s="77" t="s">
        <v>554</v>
      </c>
      <c r="AA18" s="77" t="s">
        <v>555</v>
      </c>
      <c r="AB18" s="77" t="s">
        <v>132</v>
      </c>
      <c r="AC18" s="79" t="str">
        <f aca="false">CONCATENATE(AA18,CHAR(10),AB18)</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19" customFormat="false" ht="257.25" hidden="false" customHeight="false" outlineLevel="0" collapsed="false">
      <c r="A19" s="75" t="s">
        <v>442</v>
      </c>
      <c r="B19" s="76" t="s">
        <v>33</v>
      </c>
      <c r="C19" s="77" t="s">
        <v>543</v>
      </c>
      <c r="D19" s="77" t="s">
        <v>544</v>
      </c>
      <c r="E19" s="77" t="n">
        <v>2017</v>
      </c>
      <c r="F19" s="76" t="str">
        <f aca="false">CONCATENATE(C19,CHAR(10),D19,CHAR(10),E19," года")</f>
        <v>Отлично 
24 января
2017 года</v>
      </c>
      <c r="G19" s="77" t="s">
        <v>545</v>
      </c>
      <c r="H19" s="77" t="s">
        <v>546</v>
      </c>
      <c r="I19" s="77" t="s">
        <v>557</v>
      </c>
      <c r="J19" s="76" t="str">
        <f aca="false">CONCATENATE(H19,CHAR(10),I19)</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19" s="78" t="s">
        <v>548</v>
      </c>
      <c r="L19" s="77" t="s">
        <v>543</v>
      </c>
      <c r="M19" s="77" t="s">
        <v>558</v>
      </c>
      <c r="N19" s="77" t="n">
        <v>2017</v>
      </c>
      <c r="O19" s="78" t="str">
        <f aca="false">CONCATENATE(L19,CHAR(10),M19,CHAR(10),N19," года")</f>
        <v>Отлично 
20 июня
2017 года</v>
      </c>
      <c r="P19" s="77" t="s">
        <v>550</v>
      </c>
      <c r="Q19" s="77" t="s">
        <v>559</v>
      </c>
      <c r="R19" s="77" t="s">
        <v>560</v>
      </c>
      <c r="S19" s="77" t="s">
        <v>561</v>
      </c>
      <c r="T19" s="78" t="str">
        <f aca="false">CONCATENATE(Q19,CHAR(10),R19,CHAR(10),S19)</f>
        <v>Бородулина Н.Ю., доктор филологических наук, доцент, профессор кафедры «Иностранных языков», заместитель председателя комиссии
Гуляева Е.А., кандидат педагогических наук, доцент, доцент кафедры «Иностранных языков»
Червяков В.М., доктор технических наук, доцент, профессор кафедры «Техническая механика и детали машин»</v>
      </c>
      <c r="U19" s="79" t="str">
        <f aca="false">VLOOKUP(A19,'БД направление'!$A:$H,8,0)</f>
        <v>Строительные материалы и изделия</v>
      </c>
      <c r="V19" s="77" t="s">
        <v>543</v>
      </c>
      <c r="W19" s="77" t="s">
        <v>566</v>
      </c>
      <c r="X19" s="77" t="n">
        <v>2019</v>
      </c>
      <c r="Y19" s="79" t="str">
        <f aca="false">CONCATENATE(V19,CHAR(10),W19,CHAR(10),X19," года")</f>
        <v>Отлично 
28 июня
2019 года</v>
      </c>
      <c r="Z19" s="77" t="s">
        <v>562</v>
      </c>
      <c r="AA19" s="77" t="s">
        <v>563</v>
      </c>
      <c r="AB19" s="77" t="s">
        <v>565</v>
      </c>
      <c r="AC19" s="79" t="str">
        <f aca="false">CONCATENATE(AA19,CHAR(10),AB19)</f>
        <v>Леденев В.В., доктор технических наук, профессор, профессор кафедры «Конструкции зданий и сооружений», заместитель председателя комиссии
Монастырев П.В., доктор технических наук, доцент, директор института архитектуры, строительства и транспорта</v>
      </c>
    </row>
    <row r="20" customFormat="false" ht="258.75" hidden="false" customHeight="false" outlineLevel="0" collapsed="false">
      <c r="A20" s="75" t="s">
        <v>480</v>
      </c>
      <c r="B20" s="76" t="s">
        <v>33</v>
      </c>
      <c r="C20" s="77" t="s">
        <v>543</v>
      </c>
      <c r="D20" s="77" t="s">
        <v>567</v>
      </c>
      <c r="E20" s="77" t="n">
        <v>2017</v>
      </c>
      <c r="F20" s="76" t="str">
        <f aca="false">CONCATENATE(C20,CHAR(10),D20,CHAR(10),E20," года")</f>
        <v>Отлично 
25 января
2017 года</v>
      </c>
      <c r="G20" s="77" t="s">
        <v>545</v>
      </c>
      <c r="H20" s="77" t="s">
        <v>546</v>
      </c>
      <c r="I20" s="77" t="s">
        <v>557</v>
      </c>
      <c r="J20" s="76" t="str">
        <f aca="false">CONCATENATE(H20,CHAR(10),I20)</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20" s="78" t="s">
        <v>548</v>
      </c>
      <c r="L20" s="77" t="s">
        <v>571</v>
      </c>
      <c r="M20" s="77" t="s">
        <v>558</v>
      </c>
      <c r="N20" s="77" t="n">
        <v>2017</v>
      </c>
      <c r="O20" s="78" t="str">
        <f aca="false">CONCATENATE(L20,CHAR(10),M20,CHAR(10),N20," года")</f>
        <v>Хорошо
20 июня
2017 года</v>
      </c>
      <c r="P20" s="77" t="s">
        <v>550</v>
      </c>
      <c r="Q20" s="77" t="s">
        <v>551</v>
      </c>
      <c r="R20" s="77" t="s">
        <v>552</v>
      </c>
      <c r="S20" s="77" t="s">
        <v>568</v>
      </c>
      <c r="T20" s="78" t="str">
        <f aca="false">CONCATENATE(Q20,CHAR(10),R20,CHAR(10),S20)</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Иванова О.Г., кандидат технических наук, доцент, профессор кафедры «Информационные системы и защита информации»</v>
      </c>
      <c r="U20" s="79" t="str">
        <f aca="false">VLOOKUP(A20,'БД направление'!$A:$H,8,0)</f>
        <v>Информационные системы и процессы</v>
      </c>
      <c r="V20" s="77" t="s">
        <v>598</v>
      </c>
      <c r="Y20" s="79" t="str">
        <f aca="false">CONCATENATE(V20,CHAR(10),W20,CHAR(10),X20," года")</f>
        <v>Удовлетворительно
 года</v>
      </c>
      <c r="Z20" s="77" t="s">
        <v>45</v>
      </c>
      <c r="AA20" s="77" t="s">
        <v>569</v>
      </c>
      <c r="AB20" s="77" t="s">
        <v>570</v>
      </c>
      <c r="AC20" s="79" t="str">
        <f aca="false">CONCATENATE(AA20,CHAR(10),AB20)</f>
        <v>Тютюнник В.М., доктор технических наук, профессор, профессор кафедры «Конструирование радиоэлектронных и микропроцессорных систем», заместитель председателя комиссии
Дидрих В.Е., доктор технических наук, профессор, профессор кафедры «Информационные системы и защита информации»</v>
      </c>
    </row>
    <row r="21" customFormat="false" ht="328.5" hidden="false" customHeight="false" outlineLevel="0" collapsed="false">
      <c r="A21" s="75" t="s">
        <v>446</v>
      </c>
      <c r="B21" s="76" t="s">
        <v>33</v>
      </c>
      <c r="C21" s="77" t="s">
        <v>571</v>
      </c>
      <c r="D21" s="77" t="s">
        <v>591</v>
      </c>
      <c r="E21" s="77" t="n">
        <v>2017</v>
      </c>
      <c r="F21" s="76" t="str">
        <f aca="false">CONCATENATE(C21,CHAR(10),D21,CHAR(10),E21," года")</f>
        <v>Хорошо
27 января
2017 года</v>
      </c>
      <c r="G21" s="77" t="s">
        <v>545</v>
      </c>
      <c r="H21" s="77" t="s">
        <v>546</v>
      </c>
      <c r="I21" s="77" t="s">
        <v>557</v>
      </c>
      <c r="J21" s="76" t="str">
        <f aca="false">CONCATENATE(H21,CHAR(10),I21)</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21" s="78" t="s">
        <v>548</v>
      </c>
      <c r="L21" s="77" t="s">
        <v>543</v>
      </c>
      <c r="M21" s="77" t="s">
        <v>549</v>
      </c>
      <c r="N21" s="77" t="n">
        <v>2017</v>
      </c>
      <c r="O21" s="78" t="str">
        <f aca="false">CONCATENATE(L21,CHAR(10),M21,CHAR(10),N21," года")</f>
        <v>Отлично 
22 июня
2017 года</v>
      </c>
      <c r="P21" s="77" t="s">
        <v>550</v>
      </c>
      <c r="Q21" s="77" t="s">
        <v>599</v>
      </c>
      <c r="R21" s="77" t="s">
        <v>600</v>
      </c>
      <c r="S21" s="77" t="s">
        <v>601</v>
      </c>
      <c r="T21" s="78" t="str">
        <f aca="false">CONCATENATE(Q21,CHAR(10),R21,CHAR(10),S21)</f>
        <v>Губанова Т.В., кандидат филологических наук, доцент, доцент кафедры «Русская филология», заместитель председателя комиссии
Немцова Н.М., кандидат филологических наук, доцент, зам. декана факультета международного образования
Промтов М.А., доктор технических наук, профессор, декан факультета международного образования</v>
      </c>
      <c r="U21" s="79" t="str">
        <f aca="false">VLOOKUP(A21,'БД направление'!$A:$H,8,0)</f>
        <v>Процессы и аппараты химической технологии</v>
      </c>
      <c r="V21" s="77" t="s">
        <v>543</v>
      </c>
      <c r="W21" s="77" t="s">
        <v>588</v>
      </c>
      <c r="X21" s="77" t="n">
        <v>2019</v>
      </c>
      <c r="Y21" s="79" t="str">
        <f aca="false">CONCATENATE(V21,CHAR(10),W21,CHAR(10),X21," года")</f>
        <v>Отлично 
26 июня
2019 года</v>
      </c>
      <c r="Z21" s="77" t="s">
        <v>593</v>
      </c>
      <c r="AA21" s="77" t="s">
        <v>594</v>
      </c>
      <c r="AB21" s="77" t="s">
        <v>590</v>
      </c>
      <c r="AC21" s="79" t="str">
        <f aca="false">CONCATENATE(AA21,CHAR(10),AB21)</f>
        <v>Долгунин В.Н., доктор технических наук, профессор, профессор кафедры  «Технологии и оборудование пищевых и химических производств», заместитель председателя комиссии
Промтов М.А., доктор технических наук, профессор, профессор кафедры  «Технологические процессы, аппараты и техносферная безопасность»</v>
      </c>
    </row>
    <row r="22" customFormat="false" ht="257.25" hidden="false" customHeight="false" outlineLevel="0" collapsed="false">
      <c r="A22" s="75" t="s">
        <v>450</v>
      </c>
      <c r="B22" s="76" t="s">
        <v>33</v>
      </c>
      <c r="F22" s="76" t="str">
        <f aca="false">CONCATENATE(C22,CHAR(10),D22,CHAR(10),E22," года")</f>
        <v>года</v>
      </c>
      <c r="G22" s="77" t="s">
        <v>545</v>
      </c>
      <c r="H22" s="77" t="s">
        <v>546</v>
      </c>
      <c r="I22" s="77" t="s">
        <v>547</v>
      </c>
      <c r="J22" s="76" t="str">
        <f aca="false">CONCATENATE(H22,CHAR(10),I22)</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22" s="78" t="s">
        <v>548</v>
      </c>
      <c r="O22" s="78" t="str">
        <f aca="false">CONCATENATE(L22,CHAR(10),M22,CHAR(10),N22," года")</f>
        <v>года</v>
      </c>
      <c r="P22" s="77" t="s">
        <v>550</v>
      </c>
      <c r="Q22" s="77" t="s">
        <v>551</v>
      </c>
      <c r="R22" s="77" t="s">
        <v>552</v>
      </c>
      <c r="S22" s="77" t="s">
        <v>132</v>
      </c>
      <c r="T22" s="78" t="str">
        <f aca="false">CONCATENATE(Q22,CHAR(10),R22,CHAR(10),S22)</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22" s="79" t="str">
        <f aca="false">VLOOKUP(A22,'БД направление'!$A:$H,8,0)</f>
        <v>Нанотехнологии и наноматериалы</v>
      </c>
      <c r="Y22" s="79" t="str">
        <f aca="false">CONCATENATE(V22,CHAR(10),W22,CHAR(10),X22," года")</f>
        <v>года</v>
      </c>
      <c r="Z22" s="77" t="s">
        <v>554</v>
      </c>
      <c r="AA22" s="77" t="s">
        <v>555</v>
      </c>
      <c r="AB22" s="77" t="s">
        <v>132</v>
      </c>
      <c r="AC22" s="79" t="str">
        <f aca="false">CONCATENATE(AA22,CHAR(10),AB22)</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23" customFormat="false" ht="257.25" hidden="false" customHeight="false" outlineLevel="0" collapsed="false">
      <c r="A23" s="75" t="s">
        <v>453</v>
      </c>
      <c r="B23" s="76" t="s">
        <v>33</v>
      </c>
      <c r="C23" s="77" t="s">
        <v>543</v>
      </c>
      <c r="D23" s="77" t="s">
        <v>602</v>
      </c>
      <c r="E23" s="77" t="n">
        <v>2017</v>
      </c>
      <c r="F23" s="76" t="str">
        <f aca="false">CONCATENATE(C23,CHAR(10),D23,CHAR(10),E23," года")</f>
        <v>Отлично 
28 января
2017 года</v>
      </c>
      <c r="G23" s="77" t="s">
        <v>545</v>
      </c>
      <c r="H23" s="77" t="s">
        <v>546</v>
      </c>
      <c r="I23" s="77" t="s">
        <v>557</v>
      </c>
      <c r="J23" s="76" t="str">
        <f aca="false">CONCATENATE(H23,CHAR(10),I23)</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23" s="78" t="s">
        <v>548</v>
      </c>
      <c r="L23" s="77" t="s">
        <v>543</v>
      </c>
      <c r="M23" s="77" t="s">
        <v>603</v>
      </c>
      <c r="N23" s="77" t="n">
        <v>2017</v>
      </c>
      <c r="O23" s="78" t="str">
        <f aca="false">CONCATENATE(L23,CHAR(10),M23,CHAR(10),N23," года")</f>
        <v>Отлично 
23 июня
2017 года</v>
      </c>
      <c r="P23" s="77" t="s">
        <v>550</v>
      </c>
      <c r="Q23" s="77" t="s">
        <v>551</v>
      </c>
      <c r="R23" s="77" t="s">
        <v>552</v>
      </c>
      <c r="S23" s="77" t="s">
        <v>604</v>
      </c>
      <c r="T23" s="78" t="str">
        <f aca="false">CONCATENATE(Q23,CHAR(10),R23,CHAR(10),S23)</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Пасько Т.В., кандидат технических наук, доцент, доцент кафедры «Техника и технологии производства нанопродуктов»</v>
      </c>
      <c r="U23" s="79" t="str">
        <f aca="false">VLOOKUP(A23,'БД направление'!$A:$H,8,0)</f>
        <v>Нанотехнологии и наноматериалы</v>
      </c>
      <c r="V23" s="77" t="s">
        <v>543</v>
      </c>
      <c r="W23" s="77" t="s">
        <v>553</v>
      </c>
      <c r="X23" s="77" t="n">
        <v>2019</v>
      </c>
      <c r="Y23" s="79" t="str">
        <f aca="false">CONCATENATE(V23,CHAR(10),W23,CHAR(10),X23," года")</f>
        <v>Отлично 
27 июня
2019 года</v>
      </c>
      <c r="Z23" s="77" t="s">
        <v>138</v>
      </c>
      <c r="AA23" s="77" t="s">
        <v>605</v>
      </c>
      <c r="AB23" s="77" t="s">
        <v>606</v>
      </c>
      <c r="AC23" s="79" t="str">
        <f aca="false">CONCATENATE(AA23,CHAR(10),AB23)</f>
        <v>Рухов А.В., доктор технических наук, доцент, зав. кафедрой «Химия и химические технологии», заместитель председателя комиссии
Туголуков Е.Н., доктор технических наук, профессор, профессор кафедры  «Техника и технологии производства нанопродуктов»</v>
      </c>
    </row>
    <row r="24" customFormat="false" ht="257.25" hidden="false" customHeight="false" outlineLevel="0" collapsed="false">
      <c r="A24" s="75" t="s">
        <v>455</v>
      </c>
      <c r="B24" s="76" t="s">
        <v>33</v>
      </c>
      <c r="F24" s="76" t="str">
        <f aca="false">CONCATENATE(C24,CHAR(10),D24,CHAR(10),E24," года")</f>
        <v>года</v>
      </c>
      <c r="G24" s="77" t="s">
        <v>545</v>
      </c>
      <c r="H24" s="77" t="s">
        <v>546</v>
      </c>
      <c r="I24" s="77" t="s">
        <v>547</v>
      </c>
      <c r="J24" s="76" t="str">
        <f aca="false">CONCATENATE(H24,CHAR(10),I24)</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24" s="78" t="s">
        <v>548</v>
      </c>
      <c r="O24" s="78" t="str">
        <f aca="false">CONCATENATE(L24,CHAR(10),M24,CHAR(10),N24," года")</f>
        <v>года</v>
      </c>
      <c r="P24" s="77" t="s">
        <v>550</v>
      </c>
      <c r="Q24" s="77" t="s">
        <v>551</v>
      </c>
      <c r="R24" s="77" t="s">
        <v>552</v>
      </c>
      <c r="S24" s="77" t="s">
        <v>132</v>
      </c>
      <c r="T24" s="78" t="str">
        <f aca="false">CONCATENATE(Q24,CHAR(10),R24,CHAR(10),S24)</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24" s="79" t="str">
        <f aca="false">VLOOKUP(A24,'БД направление'!$A:$H,8,0)</f>
        <v>Отечественная история</v>
      </c>
      <c r="Y24" s="79" t="str">
        <f aca="false">CONCATENATE(V24,CHAR(10),W24,CHAR(10),X24," года")</f>
        <v>года</v>
      </c>
      <c r="Z24" s="77" t="s">
        <v>554</v>
      </c>
      <c r="AA24" s="77" t="s">
        <v>555</v>
      </c>
      <c r="AB24" s="77" t="s">
        <v>132</v>
      </c>
      <c r="AC24" s="79" t="str">
        <f aca="false">CONCATENATE(AA24,CHAR(10),AB24)</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25" customFormat="false" ht="257.25" hidden="false" customHeight="false" outlineLevel="0" collapsed="false">
      <c r="A25" s="75" t="s">
        <v>484</v>
      </c>
      <c r="B25" s="76" t="s">
        <v>33</v>
      </c>
      <c r="F25" s="76" t="str">
        <f aca="false">CONCATENATE(C25,CHAR(10),D25,CHAR(10),E25," года")</f>
        <v>года</v>
      </c>
      <c r="G25" s="77" t="s">
        <v>545</v>
      </c>
      <c r="H25" s="77" t="s">
        <v>546</v>
      </c>
      <c r="I25" s="77" t="s">
        <v>547</v>
      </c>
      <c r="J25" s="76" t="str">
        <f aca="false">CONCATENATE(H25,CHAR(10),I25)</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25" s="78" t="s">
        <v>548</v>
      </c>
      <c r="O25" s="78" t="str">
        <f aca="false">CONCATENATE(L25,CHAR(10),M25,CHAR(10),N25," года")</f>
        <v>года</v>
      </c>
      <c r="P25" s="77" t="s">
        <v>550</v>
      </c>
      <c r="Q25" s="77" t="s">
        <v>551</v>
      </c>
      <c r="R25" s="77" t="s">
        <v>552</v>
      </c>
      <c r="S25" s="77" t="s">
        <v>132</v>
      </c>
      <c r="T25" s="78" t="str">
        <f aca="false">CONCATENATE(Q25,CHAR(10),R25,CHAR(10),S25)</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25" s="79" t="str">
        <f aca="false">VLOOKUP(A25,'БД направление'!$A:$H,8,0)</f>
        <v>Отечественная история</v>
      </c>
      <c r="Y25" s="79" t="str">
        <f aca="false">CONCATENATE(V25,CHAR(10),W25,CHAR(10),X25," года")</f>
        <v>года</v>
      </c>
      <c r="Z25" s="77" t="s">
        <v>554</v>
      </c>
      <c r="AA25" s="77" t="s">
        <v>555</v>
      </c>
      <c r="AB25" s="77" t="s">
        <v>132</v>
      </c>
      <c r="AC25" s="79" t="str">
        <f aca="false">CONCATENATE(AA25,CHAR(10),AB25)</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26" customFormat="false" ht="311.25" hidden="false" customHeight="false" outlineLevel="0" collapsed="false">
      <c r="A26" s="75" t="s">
        <v>461</v>
      </c>
      <c r="B26" s="76" t="s">
        <v>33</v>
      </c>
      <c r="C26" s="77" t="s">
        <v>543</v>
      </c>
      <c r="D26" s="77" t="s">
        <v>607</v>
      </c>
      <c r="E26" s="77" t="n">
        <v>2017</v>
      </c>
      <c r="F26" s="76" t="str">
        <f aca="false">CONCATENATE(C26,CHAR(10),D26,CHAR(10),E26," года")</f>
        <v>Отлично 
23 января
2017 года</v>
      </c>
      <c r="G26" s="77" t="s">
        <v>545</v>
      </c>
      <c r="H26" s="77" t="s">
        <v>546</v>
      </c>
      <c r="I26" s="77" t="s">
        <v>557</v>
      </c>
      <c r="J26" s="76" t="str">
        <f aca="false">CONCATENATE(H26,CHAR(10),I26)</f>
        <v>Слезин А.А., доктор исторических  наук, профессор, зав. кафедрой «История и философия»,  заместитель председателя комиссии; 
Терехова Г.Л., кандидат философских наук, доцент, доцент кафедры «История и философия»</v>
      </c>
      <c r="K26" s="78" t="s">
        <v>548</v>
      </c>
      <c r="L26" s="77" t="s">
        <v>571</v>
      </c>
      <c r="M26" s="77" t="s">
        <v>558</v>
      </c>
      <c r="N26" s="77" t="n">
        <v>2017</v>
      </c>
      <c r="O26" s="78" t="str">
        <f aca="false">CONCATENATE(L26,CHAR(10),M26,CHAR(10),N26," года")</f>
        <v>Хорошо
20 июня
2017 года</v>
      </c>
      <c r="P26" s="77" t="s">
        <v>550</v>
      </c>
      <c r="Q26" s="77" t="s">
        <v>551</v>
      </c>
      <c r="R26" s="77" t="s">
        <v>552</v>
      </c>
      <c r="S26" s="77" t="s">
        <v>568</v>
      </c>
      <c r="T26" s="78" t="str">
        <f aca="false">CONCATENATE(Q26,CHAR(10),R26,CHAR(10),S26)</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Иванова О.Г., кандидат технических наук, доцент, профессор кафедры «Информационные системы и защита информации»</v>
      </c>
      <c r="U26" s="79" t="str">
        <f aca="false">VLOOKUP(A26,'БД направление'!$A:$H,8,0)</f>
        <v>Системный анализ, управление и обработка информации</v>
      </c>
      <c r="V26" s="77" t="s">
        <v>571</v>
      </c>
      <c r="W26" s="77" t="s">
        <v>576</v>
      </c>
      <c r="X26" s="77" t="n">
        <v>2019</v>
      </c>
      <c r="Y26" s="79" t="str">
        <f aca="false">CONCATENATE(V26,CHAR(10),W26,CHAR(10),X26," года")</f>
        <v>Хорошо
25 июня
2019 года</v>
      </c>
      <c r="Z26" s="77" t="s">
        <v>608</v>
      </c>
      <c r="AA26" s="77" t="s">
        <v>609</v>
      </c>
      <c r="AB26" s="77" t="s">
        <v>610</v>
      </c>
      <c r="AC26" s="79" t="str">
        <f aca="false">CONCATENATE(AA26,CHAR(10),AB26)</f>
        <v>Карпушкин С.В., доктор технических наук, профессор, профессор кафедры «Компьютерно-интегрированные системы в машиностроении», заместитель председателя комиссии
Алексеев В.В., доктор технических наук, профессор, зав. кафедрой «Информационные системы и защита информации»</v>
      </c>
    </row>
    <row r="27" customFormat="false" ht="257.25" hidden="false" customHeight="false" outlineLevel="0" collapsed="false">
      <c r="A27" s="75" t="s">
        <v>465</v>
      </c>
      <c r="B27" s="76" t="s">
        <v>33</v>
      </c>
      <c r="F27" s="76" t="str">
        <f aca="false">CONCATENATE(C27,CHAR(10),D27,CHAR(10),E27," года")</f>
        <v>года</v>
      </c>
      <c r="G27" s="77" t="s">
        <v>545</v>
      </c>
      <c r="H27" s="77" t="s">
        <v>546</v>
      </c>
      <c r="I27" s="77" t="s">
        <v>547</v>
      </c>
      <c r="J27" s="76" t="str">
        <f aca="false">CONCATENATE(H27,CHAR(10),I27)</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27" s="78" t="s">
        <v>548</v>
      </c>
      <c r="O27" s="78" t="str">
        <f aca="false">CONCATENATE(L27,CHAR(10),M27,CHAR(10),N27," года")</f>
        <v>года</v>
      </c>
      <c r="P27" s="77" t="s">
        <v>550</v>
      </c>
      <c r="Q27" s="77" t="s">
        <v>551</v>
      </c>
      <c r="R27" s="77" t="s">
        <v>552</v>
      </c>
      <c r="S27" s="77" t="s">
        <v>132</v>
      </c>
      <c r="T27" s="78" t="str">
        <f aca="false">CONCATENATE(Q27,CHAR(10),R27,CHAR(10),S27)</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27" s="79" t="str">
        <f aca="false">VLOOKUP(A27,'БД направление'!$A:$H,8,0)</f>
        <v>Политические институты, процессы и технологии</v>
      </c>
      <c r="Y27" s="79" t="str">
        <f aca="false">CONCATENATE(V27,CHAR(10),W27,CHAR(10),X27," года")</f>
        <v>года</v>
      </c>
      <c r="Z27" s="77" t="s">
        <v>554</v>
      </c>
      <c r="AA27" s="77" t="s">
        <v>555</v>
      </c>
      <c r="AB27" s="77" t="s">
        <v>132</v>
      </c>
      <c r="AC27" s="79" t="str">
        <f aca="false">CONCATENATE(AA27,CHAR(10),AB27)</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28" customFormat="false" ht="257.25" hidden="false" customHeight="false" outlineLevel="0" collapsed="false">
      <c r="A28" s="75" t="s">
        <v>469</v>
      </c>
      <c r="B28" s="76" t="s">
        <v>33</v>
      </c>
      <c r="F28" s="76" t="str">
        <f aca="false">CONCATENATE(C28,CHAR(10),D28,CHAR(10),E28," года")</f>
        <v>года</v>
      </c>
      <c r="G28" s="77" t="s">
        <v>545</v>
      </c>
      <c r="H28" s="77" t="s">
        <v>546</v>
      </c>
      <c r="I28" s="77" t="s">
        <v>547</v>
      </c>
      <c r="J28" s="76" t="str">
        <f aca="false">CONCATENATE(H28,CHAR(10),I28)</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28" s="78" t="s">
        <v>548</v>
      </c>
      <c r="O28" s="78" t="str">
        <f aca="false">CONCATENATE(L28,CHAR(10),M28,CHAR(10),N28," года")</f>
        <v>года</v>
      </c>
      <c r="P28" s="77" t="s">
        <v>550</v>
      </c>
      <c r="Q28" s="77" t="s">
        <v>551</v>
      </c>
      <c r="R28" s="77" t="s">
        <v>552</v>
      </c>
      <c r="S28" s="77" t="s">
        <v>132</v>
      </c>
      <c r="T28" s="78" t="str">
        <f aca="false">CONCATENATE(Q28,CHAR(10),R28,CHAR(10),S28)</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28" s="79" t="str">
        <f aca="false">VLOOKUP(A28,'БД направление'!$A:$H,8,0)</f>
        <v>Экономика и управление народным хозяйством</v>
      </c>
      <c r="Y28" s="79" t="str">
        <f aca="false">CONCATENATE(V28,CHAR(10),W28,CHAR(10),X28," года")</f>
        <v>года</v>
      </c>
      <c r="Z28" s="77" t="s">
        <v>554</v>
      </c>
      <c r="AA28" s="77" t="s">
        <v>555</v>
      </c>
      <c r="AB28" s="77" t="s">
        <v>132</v>
      </c>
      <c r="AC28" s="79" t="str">
        <f aca="false">CONCATENATE(AA28,CHAR(10),AB28)</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29" customFormat="false" ht="257.25" hidden="false" customHeight="false" outlineLevel="0" collapsed="false">
      <c r="A29" s="75" t="s">
        <v>486</v>
      </c>
      <c r="B29" s="76" t="s">
        <v>33</v>
      </c>
      <c r="F29" s="76" t="str">
        <f aca="false">CONCATENATE(C29,CHAR(10),D29,CHAR(10),E29," года")</f>
        <v>года</v>
      </c>
      <c r="G29" s="77" t="s">
        <v>545</v>
      </c>
      <c r="H29" s="77" t="s">
        <v>546</v>
      </c>
      <c r="I29" s="77" t="s">
        <v>547</v>
      </c>
      <c r="J29" s="76" t="str">
        <f aca="false">CONCATENATE(H29,CHAR(10),I29)</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29" s="78" t="s">
        <v>548</v>
      </c>
      <c r="O29" s="78" t="str">
        <f aca="false">CONCATENATE(L29,CHAR(10),M29,CHAR(10),N29," года")</f>
        <v>года</v>
      </c>
      <c r="P29" s="77" t="s">
        <v>550</v>
      </c>
      <c r="Q29" s="77" t="s">
        <v>551</v>
      </c>
      <c r="R29" s="77" t="s">
        <v>552</v>
      </c>
      <c r="S29" s="77" t="s">
        <v>132</v>
      </c>
      <c r="T29" s="78" t="str">
        <f aca="false">CONCATENATE(Q29,CHAR(10),R29,CHAR(10),S29)</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29" s="79" t="str">
        <f aca="false">VLOOKUP(A29,'БД направление'!$A:$H,8,0)</f>
        <v>Финансы, денежное обращение и кредит</v>
      </c>
      <c r="Y29" s="79" t="str">
        <f aca="false">CONCATENATE(V29,CHAR(10),W29,CHAR(10),X29," года")</f>
        <v>года</v>
      </c>
      <c r="Z29" s="77" t="s">
        <v>554</v>
      </c>
      <c r="AA29" s="77" t="s">
        <v>555</v>
      </c>
      <c r="AB29" s="77" t="s">
        <v>132</v>
      </c>
      <c r="AC29" s="79" t="str">
        <f aca="false">CONCATENATE(AA29,CHAR(10),AB29)</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30" customFormat="false" ht="257.25" hidden="false" customHeight="false" outlineLevel="0" collapsed="false">
      <c r="A30" s="75" t="s">
        <v>472</v>
      </c>
      <c r="B30" s="76" t="s">
        <v>33</v>
      </c>
      <c r="F30" s="76" t="str">
        <f aca="false">CONCATENATE(C30,CHAR(10),D30,CHAR(10),E30," года")</f>
        <v>года</v>
      </c>
      <c r="G30" s="77" t="s">
        <v>545</v>
      </c>
      <c r="H30" s="77" t="s">
        <v>546</v>
      </c>
      <c r="I30" s="77" t="s">
        <v>547</v>
      </c>
      <c r="J30" s="76" t="str">
        <f aca="false">CONCATENATE(H30,CHAR(10),I30)</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30" s="78" t="s">
        <v>548</v>
      </c>
      <c r="O30" s="78" t="str">
        <f aca="false">CONCATENATE(L30,CHAR(10),M30,CHAR(10),N30," года")</f>
        <v>года</v>
      </c>
      <c r="P30" s="77" t="s">
        <v>550</v>
      </c>
      <c r="Q30" s="77" t="s">
        <v>551</v>
      </c>
      <c r="R30" s="77" t="s">
        <v>552</v>
      </c>
      <c r="S30" s="77" t="s">
        <v>132</v>
      </c>
      <c r="T30" s="78" t="str">
        <f aca="false">CONCATENATE(Q30,CHAR(10),R30,CHAR(10),S30)</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30" s="79" t="str">
        <f aca="false">VLOOKUP(A30,'БД направление'!$A:$H,8,0)</f>
        <v>Политические институты, процессы и технологии</v>
      </c>
      <c r="Y30" s="79" t="str">
        <f aca="false">CONCATENATE(V30,CHAR(10),W30,CHAR(10),X30," года")</f>
        <v>года</v>
      </c>
      <c r="Z30" s="77" t="s">
        <v>554</v>
      </c>
      <c r="AA30" s="77" t="s">
        <v>555</v>
      </c>
      <c r="AB30" s="77" t="s">
        <v>132</v>
      </c>
      <c r="AC30" s="79" t="str">
        <f aca="false">CONCATENATE(AA30,CHAR(10),AB30)</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31" customFormat="false" ht="257.25" hidden="false" customHeight="false" outlineLevel="0" collapsed="false">
      <c r="A31" s="75" t="s">
        <v>474</v>
      </c>
      <c r="B31" s="76" t="s">
        <v>33</v>
      </c>
      <c r="F31" s="76" t="str">
        <f aca="false">CONCATENATE(C31,CHAR(10),D31,CHAR(10),E31," года")</f>
        <v>года</v>
      </c>
      <c r="G31" s="77" t="s">
        <v>545</v>
      </c>
      <c r="H31" s="77" t="s">
        <v>546</v>
      </c>
      <c r="I31" s="77" t="s">
        <v>547</v>
      </c>
      <c r="J31" s="76" t="str">
        <f aca="false">CONCATENATE(H31,CHAR(10),I31)</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31" s="78" t="s">
        <v>548</v>
      </c>
      <c r="O31" s="78" t="str">
        <f aca="false">CONCATENATE(L31,CHAR(10),M31,CHAR(10),N31," года")</f>
        <v>года</v>
      </c>
      <c r="P31" s="77" t="s">
        <v>550</v>
      </c>
      <c r="Q31" s="77" t="s">
        <v>551</v>
      </c>
      <c r="R31" s="77" t="s">
        <v>552</v>
      </c>
      <c r="S31" s="77" t="s">
        <v>132</v>
      </c>
      <c r="T31" s="78" t="str">
        <f aca="false">CONCATENATE(Q31,CHAR(10),R31,CHAR(10),S31)</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31" s="79" t="str">
        <f aca="false">VLOOKUP(A31,'БД направление'!$A:$H,8,0)</f>
        <v>Политические институты, процессы и технологии</v>
      </c>
      <c r="Y31" s="79" t="str">
        <f aca="false">CONCATENATE(V31,CHAR(10),W31,CHAR(10),X31," года")</f>
        <v>года</v>
      </c>
      <c r="Z31" s="77" t="s">
        <v>554</v>
      </c>
      <c r="AA31" s="77" t="s">
        <v>555</v>
      </c>
      <c r="AB31" s="77" t="s">
        <v>132</v>
      </c>
      <c r="AC31" s="79" t="str">
        <f aca="false">CONCATENATE(AA31,CHAR(10),AB31)</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35" customFormat="false" ht="15.75" hidden="false" customHeight="false" outlineLevel="0" collapsed="false"/>
    <row r="36" customFormat="false" ht="258.75" hidden="false" customHeight="false" outlineLevel="0" collapsed="false">
      <c r="A36" s="90" t="s">
        <v>476</v>
      </c>
      <c r="B36" s="91" t="s">
        <v>33</v>
      </c>
      <c r="C36" s="92"/>
      <c r="D36" s="92"/>
      <c r="E36" s="92"/>
      <c r="F36" s="91" t="str">
        <f aca="false">CONCATENATE(C36,CHAR(10),D36,CHAR(10),E36," года")</f>
        <v>года</v>
      </c>
      <c r="G36" s="93" t="s">
        <v>545</v>
      </c>
      <c r="H36" s="93" t="s">
        <v>546</v>
      </c>
      <c r="I36" s="93" t="s">
        <v>547</v>
      </c>
      <c r="J36" s="91" t="str">
        <f aca="false">CONCATENATE(H36,CHAR(10),I36)</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36" s="94" t="s">
        <v>548</v>
      </c>
      <c r="L36" s="92"/>
      <c r="M36" s="92"/>
      <c r="N36" s="92"/>
      <c r="O36" s="94" t="str">
        <f aca="false">CONCATENATE(L36,CHAR(10),M36,CHAR(10),N36," года")</f>
        <v>года</v>
      </c>
      <c r="P36" s="93" t="s">
        <v>550</v>
      </c>
      <c r="Q36" s="93" t="s">
        <v>551</v>
      </c>
      <c r="R36" s="93" t="s">
        <v>552</v>
      </c>
      <c r="S36" s="93" t="s">
        <v>132</v>
      </c>
      <c r="T36" s="94" t="str">
        <f aca="false">CONCATENATE(Q36,CHAR(10),R36,CHAR(10),S36)</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36" s="95" t="str">
        <f aca="false">VLOOKUP(A36,'БД направление'!$A:$H,8,0)</f>
        <v>Строительные материалы и изделия</v>
      </c>
      <c r="V36" s="92"/>
      <c r="W36" s="92"/>
      <c r="X36" s="92"/>
      <c r="Y36" s="95" t="str">
        <f aca="false">CONCATENATE(V36,CHAR(10),W36,CHAR(10),X36," года")</f>
        <v>года</v>
      </c>
      <c r="Z36" s="93" t="s">
        <v>554</v>
      </c>
      <c r="AA36" s="93" t="s">
        <v>555</v>
      </c>
      <c r="AB36" s="93" t="s">
        <v>132</v>
      </c>
      <c r="AC36" s="96" t="str">
        <f aca="false">CONCATENATE(AA36,CHAR(10),AB36)</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37" customFormat="false" ht="258.75" hidden="false" customHeight="false" outlineLevel="0" collapsed="false">
      <c r="A37" s="90" t="s">
        <v>478</v>
      </c>
      <c r="B37" s="91" t="s">
        <v>33</v>
      </c>
      <c r="C37" s="92"/>
      <c r="D37" s="92"/>
      <c r="E37" s="92"/>
      <c r="F37" s="91" t="str">
        <f aca="false">CONCATENATE(C37,CHAR(10),D37,CHAR(10),E37," года")</f>
        <v>года</v>
      </c>
      <c r="G37" s="93" t="s">
        <v>545</v>
      </c>
      <c r="H37" s="93" t="s">
        <v>546</v>
      </c>
      <c r="I37" s="93" t="s">
        <v>547</v>
      </c>
      <c r="J37" s="91" t="str">
        <f aca="false">CONCATENATE(H37,CHAR(10),I37)</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37" s="94" t="s">
        <v>548</v>
      </c>
      <c r="L37" s="92"/>
      <c r="M37" s="92"/>
      <c r="N37" s="92"/>
      <c r="O37" s="94" t="str">
        <f aca="false">CONCATENATE(L37,CHAR(10),M37,CHAR(10),N37," года")</f>
        <v>года</v>
      </c>
      <c r="P37" s="93" t="s">
        <v>550</v>
      </c>
      <c r="Q37" s="93" t="s">
        <v>551</v>
      </c>
      <c r="R37" s="93" t="s">
        <v>552</v>
      </c>
      <c r="S37" s="93" t="s">
        <v>132</v>
      </c>
      <c r="T37" s="94" t="str">
        <f aca="false">CONCATENATE(Q37,CHAR(10),R37,CHAR(10),S37)</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37" s="95" t="str">
        <f aca="false">VLOOKUP(A37,'БД направление'!$A:$H,8,0)</f>
        <v>Процессы и аппараты химической технологии</v>
      </c>
      <c r="V37" s="92"/>
      <c r="W37" s="92"/>
      <c r="X37" s="92"/>
      <c r="Y37" s="95" t="str">
        <f aca="false">CONCATENATE(V37,CHAR(10),W37,CHAR(10),X37," года")</f>
        <v>года</v>
      </c>
      <c r="Z37" s="93" t="s">
        <v>554</v>
      </c>
      <c r="AA37" s="93" t="s">
        <v>555</v>
      </c>
      <c r="AB37" s="93" t="s">
        <v>132</v>
      </c>
      <c r="AC37" s="96" t="str">
        <f aca="false">CONCATENATE(AA37,CHAR(10),AB37)</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row r="38" customFormat="false" ht="258.75" hidden="false" customHeight="false" outlineLevel="0" collapsed="false">
      <c r="A38" s="90" t="s">
        <v>482</v>
      </c>
      <c r="B38" s="91" t="s">
        <v>33</v>
      </c>
      <c r="C38" s="92"/>
      <c r="D38" s="92"/>
      <c r="E38" s="92"/>
      <c r="F38" s="91" t="str">
        <f aca="false">CONCATENATE(C38,CHAR(10),D38,CHAR(10),E38," года")</f>
        <v>года</v>
      </c>
      <c r="G38" s="93" t="s">
        <v>545</v>
      </c>
      <c r="H38" s="93" t="s">
        <v>546</v>
      </c>
      <c r="I38" s="93" t="s">
        <v>547</v>
      </c>
      <c r="J38" s="91" t="str">
        <f aca="false">CONCATENATE(H38,CHAR(10),I38)</f>
        <v>Слезин А.А., доктор исторических  наук, профессор, зав. кафедрой «История и философия»,  заместитель председателя комиссии; 
Самохин К.В., кандидат исторических наук, доцент, доцент кафедры «История и философия»</v>
      </c>
      <c r="K38" s="94" t="s">
        <v>548</v>
      </c>
      <c r="L38" s="92"/>
      <c r="M38" s="92"/>
      <c r="N38" s="92"/>
      <c r="O38" s="94" t="str">
        <f aca="false">CONCATENATE(L38,CHAR(10),M38,CHAR(10),N38," года")</f>
        <v>года</v>
      </c>
      <c r="P38" s="93" t="s">
        <v>550</v>
      </c>
      <c r="Q38" s="93" t="s">
        <v>551</v>
      </c>
      <c r="R38" s="93" t="s">
        <v>552</v>
      </c>
      <c r="S38" s="93" t="s">
        <v>132</v>
      </c>
      <c r="T38" s="94" t="str">
        <f aca="false">CONCATENATE(Q38,CHAR(10),R38,CHAR(10),S38)</f>
        <v>Гунина Н.А., кандидат филологических наук, доцент, зав. кафедрой «Международная профессиональная и научная коммуникация», заместитель председателя комиссии; 
Королева Л.Ю., кандидат филологических наук, доцент, доцент кафедры «Международная профессиональная и научная коммуникация»; 
Зарапина И.В., кандидат химических наук, доцент, доцент кафедры «Химия и химические технологии»</v>
      </c>
      <c r="U38" s="95" t="str">
        <f aca="false">VLOOKUP(A38,'БД направление'!$A:$H,8,0)</f>
        <v>Теория языка</v>
      </c>
      <c r="V38" s="92"/>
      <c r="W38" s="92"/>
      <c r="X38" s="92"/>
      <c r="Y38" s="95" t="str">
        <f aca="false">CONCATENATE(V38,CHAR(10),W38,CHAR(10),X38," года")</f>
        <v>года</v>
      </c>
      <c r="Z38" s="93" t="s">
        <v>554</v>
      </c>
      <c r="AA38" s="93" t="s">
        <v>555</v>
      </c>
      <c r="AB38" s="93" t="s">
        <v>132</v>
      </c>
      <c r="AC38" s="96" t="str">
        <f aca="false">CONCATENATE(AA38,CHAR(10),AB38)</f>
        <v>Дьячкова Т.П., доктор химических наук, доцент, доцент кафедры "Химия и химические технологии",  заместитель председателя комиссии; 
Зарапина И.В., кандидат химических наук, доцент, доцент кафедры «Химия и химические технологии»</v>
      </c>
    </row>
  </sheetData>
  <dataValidations count="6">
    <dataValidation allowBlank="true" errorStyle="stop" operator="between" showDropDown="false" showErrorMessage="true" showInputMessage="true" sqref="G2:G31 G36:G38" type="list">
      <formula1>'Комиссия по ИиФ'!$A:$A</formula1>
      <formula2>0</formula2>
    </dataValidation>
    <dataValidation allowBlank="true" errorStyle="stop" operator="between" showDropDown="false" showErrorMessage="true" showInputMessage="true" sqref="H2:I31 H36:I38" type="list">
      <formula1>'Комиссия по ИиФ'!$B:$B</formula1>
      <formula2>0</formula2>
    </dataValidation>
    <dataValidation allowBlank="true" errorStyle="stop" operator="between" showDropDown="false" showErrorMessage="true" showInputMessage="true" sqref="P2:P31 P36:P38" type="list">
      <formula1>'Комиссия по ИнЯ'!$A:$A</formula1>
      <formula2>0</formula2>
    </dataValidation>
    <dataValidation allowBlank="true" errorStyle="stop" operator="between" showDropDown="false" showErrorMessage="true" showInputMessage="true" sqref="Q2:S31 Q36:S38" type="list">
      <formula1>'Комиссия по ИнЯ'!$B:$B</formula1>
      <formula2>0</formula2>
    </dataValidation>
    <dataValidation allowBlank="true" errorStyle="stop" operator="between" showDropDown="false" showErrorMessage="true" showInputMessage="true" sqref="Z2:Z31 Z36:Z38" type="list">
      <formula1>'Комиссия по специальности'!$A:$A</formula1>
      <formula2>0</formula2>
    </dataValidation>
    <dataValidation allowBlank="true" errorStyle="stop" operator="between" showDropDown="false" showErrorMessage="true" showInputMessage="true" sqref="AA2:AB31 AA36:AB38" type="list">
      <formula1>'Комиссия по специальности'!$B:$B</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5" activeCellId="0" sqref="A25"/>
    </sheetView>
  </sheetViews>
  <sheetFormatPr defaultColWidth="9.1484375" defaultRowHeight="18.75" zeroHeight="false" outlineLevelRow="0" outlineLevelCol="0"/>
  <cols>
    <col collapsed="false" customWidth="true" hidden="false" outlineLevel="0" max="1" min="1" style="97" width="20.71"/>
    <col collapsed="false" customWidth="true" hidden="false" outlineLevel="0" max="2" min="2" style="98" width="30.71"/>
    <col collapsed="false" customWidth="true" hidden="false" outlineLevel="0" max="3" min="3" style="99" width="13.42"/>
    <col collapsed="false" customWidth="true" hidden="false" outlineLevel="0" max="4" min="4" style="100" width="19.29"/>
    <col collapsed="false" customWidth="true" hidden="false" outlineLevel="0" max="5" min="5" style="47" width="45.71"/>
  </cols>
  <sheetData>
    <row r="1" s="102" customFormat="true" ht="37.5" hidden="false" customHeight="false" outlineLevel="0" collapsed="false">
      <c r="A1" s="65" t="s">
        <v>490</v>
      </c>
      <c r="B1" s="65" t="s">
        <v>492</v>
      </c>
      <c r="C1" s="101" t="s">
        <v>488</v>
      </c>
      <c r="D1" s="66" t="s">
        <v>611</v>
      </c>
      <c r="E1" s="65" t="s">
        <v>612</v>
      </c>
    </row>
    <row r="2" customFormat="false" ht="56.25" hidden="false" customHeight="false" outlineLevel="0" collapsed="false">
      <c r="A2" s="67" t="s">
        <v>613</v>
      </c>
      <c r="B2" s="67" t="s">
        <v>614</v>
      </c>
      <c r="C2" s="103" t="s">
        <v>615</v>
      </c>
      <c r="D2" s="69" t="s">
        <v>614</v>
      </c>
      <c r="E2" s="67" t="str">
        <f aca="false">CONCATENATE(C2," ",D2)</f>
        <v>01.02.04 Механика деформируемого твердого тела</v>
      </c>
    </row>
    <row r="3" customFormat="false" ht="18.75" hidden="false" customHeight="false" outlineLevel="0" collapsed="false">
      <c r="A3" s="67" t="s">
        <v>495</v>
      </c>
      <c r="B3" s="67" t="s">
        <v>616</v>
      </c>
      <c r="C3" s="103" t="s">
        <v>617</v>
      </c>
      <c r="D3" s="69" t="s">
        <v>616</v>
      </c>
      <c r="E3" s="67" t="str">
        <f aca="false">CONCATENATE(C3," ",D3)</f>
        <v>02.00.05 Электрохимия</v>
      </c>
    </row>
    <row r="4" customFormat="false" ht="31.5" hidden="false" customHeight="false" outlineLevel="0" collapsed="false">
      <c r="A4" s="67" t="s">
        <v>618</v>
      </c>
      <c r="B4" s="67" t="s">
        <v>619</v>
      </c>
      <c r="C4" s="103" t="s">
        <v>620</v>
      </c>
      <c r="D4" s="69" t="s">
        <v>621</v>
      </c>
      <c r="E4" s="67" t="str">
        <f aca="false">CONCATENATE(C4," ",D4)</f>
        <v>03.02.08 Экология (по отраслям)</v>
      </c>
    </row>
    <row r="5" customFormat="false" ht="63" hidden="false" customHeight="false" outlineLevel="0" collapsed="false">
      <c r="A5" s="67" t="s">
        <v>498</v>
      </c>
      <c r="B5" s="104" t="s">
        <v>622</v>
      </c>
      <c r="C5" s="103" t="s">
        <v>623</v>
      </c>
      <c r="D5" s="69" t="s">
        <v>622</v>
      </c>
      <c r="E5" s="67" t="str">
        <f aca="false">CONCATENATE(C5," ",D5)</f>
        <v>05.23.01 Строительные конструкции, здания и сооружения</v>
      </c>
    </row>
    <row r="6" customFormat="false" ht="47.25" hidden="false" customHeight="false" outlineLevel="0" collapsed="false">
      <c r="A6" s="67" t="s">
        <v>499</v>
      </c>
      <c r="B6" s="67" t="s">
        <v>624</v>
      </c>
      <c r="C6" s="103" t="s">
        <v>625</v>
      </c>
      <c r="D6" s="69" t="s">
        <v>624</v>
      </c>
      <c r="E6" s="67" t="str">
        <f aca="false">CONCATENATE(C6," ",D6)</f>
        <v>05.23.05 Строительные материалы и изделия</v>
      </c>
    </row>
    <row r="7" customFormat="false" ht="126" hidden="false" customHeight="false" outlineLevel="0" collapsed="false">
      <c r="A7" s="67" t="s">
        <v>626</v>
      </c>
      <c r="B7" s="67" t="s">
        <v>627</v>
      </c>
      <c r="C7" s="103" t="s">
        <v>628</v>
      </c>
      <c r="D7" s="69" t="s">
        <v>627</v>
      </c>
      <c r="E7" s="67" t="str">
        <f aca="false">CONCATENATE(C7," ",D7)</f>
        <v>05.23.11 Проектирование и строительство дорог, метрополитенов, аэродромов, мостов и транспортных тоннелей</v>
      </c>
    </row>
    <row r="8" customFormat="false" ht="78.75" hidden="false" customHeight="false" outlineLevel="0" collapsed="false">
      <c r="A8" s="67" t="s">
        <v>525</v>
      </c>
      <c r="B8" s="67" t="s">
        <v>629</v>
      </c>
      <c r="C8" s="103" t="s">
        <v>630</v>
      </c>
      <c r="D8" s="69" t="s">
        <v>629</v>
      </c>
      <c r="E8" s="67" t="str">
        <f aca="false">CONCATENATE(C8," ",D8)</f>
        <v>05.13.01 Системный анализ, управление и обработка информации</v>
      </c>
    </row>
    <row r="9" customFormat="false" ht="94.5" hidden="false" customHeight="false" outlineLevel="0" collapsed="false">
      <c r="A9" s="67" t="s">
        <v>631</v>
      </c>
      <c r="B9" s="104" t="s">
        <v>74</v>
      </c>
      <c r="C9" s="103" t="s">
        <v>632</v>
      </c>
      <c r="D9" s="69" t="s">
        <v>633</v>
      </c>
      <c r="E9" s="67" t="str">
        <f aca="false">CONCATENATE(C9," ",D9)</f>
        <v>05.13.06 Автоматизация и управление технологическими процессами и производствами (по отраслям)</v>
      </c>
    </row>
    <row r="10" customFormat="false" ht="94.5" hidden="false" customHeight="false" outlineLevel="0" collapsed="false">
      <c r="A10" s="67" t="s">
        <v>634</v>
      </c>
      <c r="B10" s="67" t="s">
        <v>635</v>
      </c>
      <c r="C10" s="103" t="s">
        <v>636</v>
      </c>
      <c r="D10" s="69" t="s">
        <v>635</v>
      </c>
      <c r="E10" s="67" t="str">
        <f aca="false">CONCATENATE(C10," ",D10)</f>
        <v>5.13.18 Математическое моделирование, численные методы и комплексы программ</v>
      </c>
    </row>
    <row r="11" customFormat="false" ht="47.25" hidden="false" customHeight="false" outlineLevel="0" collapsed="false">
      <c r="A11" s="67" t="s">
        <v>502</v>
      </c>
      <c r="B11" s="67" t="s">
        <v>637</v>
      </c>
      <c r="C11" s="103" t="s">
        <v>638</v>
      </c>
      <c r="D11" s="69" t="s">
        <v>637</v>
      </c>
      <c r="E11" s="67" t="str">
        <f aca="false">CONCATENATE(C11," ",D11)</f>
        <v>05.25.05 Информационные системы и процессы</v>
      </c>
    </row>
    <row r="12" customFormat="false" ht="78.75" hidden="false" customHeight="false" outlineLevel="0" collapsed="false">
      <c r="A12" s="67" t="s">
        <v>639</v>
      </c>
      <c r="B12" s="104" t="s">
        <v>640</v>
      </c>
      <c r="C12" s="103" t="s">
        <v>641</v>
      </c>
      <c r="D12" s="69" t="s">
        <v>640</v>
      </c>
      <c r="E12" s="67" t="str">
        <f aca="false">CONCATENATE(C12," ",D12)</f>
        <v>05.13.19 Методы и системы защиты информации, информационная безопасность</v>
      </c>
    </row>
    <row r="13" customFormat="false" ht="78.75" hidden="false" customHeight="false" outlineLevel="0" collapsed="false">
      <c r="A13" s="67" t="s">
        <v>642</v>
      </c>
      <c r="B13" s="67" t="s">
        <v>54</v>
      </c>
      <c r="C13" s="103" t="s">
        <v>643</v>
      </c>
      <c r="D13" s="69" t="s">
        <v>54</v>
      </c>
      <c r="E13" s="67" t="str">
        <f aca="false">CONCATENATE(C13," ",D13)</f>
        <v>05.12.04 Радиотехника, в том числе системы и устройства телевидения</v>
      </c>
    </row>
    <row r="14" customFormat="false" ht="63" hidden="false" customHeight="false" outlineLevel="0" collapsed="false">
      <c r="A14" s="67" t="s">
        <v>644</v>
      </c>
      <c r="B14" s="67" t="s">
        <v>645</v>
      </c>
      <c r="C14" s="103" t="s">
        <v>646</v>
      </c>
      <c r="D14" s="69" t="s">
        <v>645</v>
      </c>
      <c r="E14" s="67" t="str">
        <f aca="false">CONCATENATE(C14," ",D14)</f>
        <v>05.12.13 Системы, сети и устройства телекоммуникаций</v>
      </c>
    </row>
    <row r="15" customFormat="false" ht="37.5" hidden="false" customHeight="false" outlineLevel="0" collapsed="false">
      <c r="A15" s="67" t="s">
        <v>647</v>
      </c>
      <c r="B15" s="67" t="s">
        <v>648</v>
      </c>
      <c r="C15" s="103" t="s">
        <v>649</v>
      </c>
      <c r="D15" s="69" t="s">
        <v>648</v>
      </c>
      <c r="E15" s="67" t="str">
        <f aca="false">CONCATENATE(C15," ",D15)</f>
        <v>05.12.14 Радиолокация и радионавигация</v>
      </c>
    </row>
    <row r="16" customFormat="false" ht="94.5" hidden="false" customHeight="false" outlineLevel="0" collapsed="false">
      <c r="A16" s="67" t="s">
        <v>505</v>
      </c>
      <c r="B16" s="104" t="s">
        <v>650</v>
      </c>
      <c r="C16" s="103" t="s">
        <v>651</v>
      </c>
      <c r="D16" s="69" t="s">
        <v>652</v>
      </c>
      <c r="E16" s="67" t="str">
        <f aca="false">CONCATENATE(C16," ",D16)</f>
        <v>05.11.13 Приборы и методы контроля природной среды, веществ, материалов и изделий</v>
      </c>
    </row>
    <row r="17" customFormat="false" ht="78.75" hidden="false" customHeight="false" outlineLevel="0" collapsed="false">
      <c r="A17" s="67" t="s">
        <v>506</v>
      </c>
      <c r="B17" s="67" t="s">
        <v>653</v>
      </c>
      <c r="C17" s="103" t="s">
        <v>654</v>
      </c>
      <c r="D17" s="69" t="s">
        <v>94</v>
      </c>
      <c r="E17" s="67" t="str">
        <f aca="false">CONCATENATE(C17," ",D17)</f>
        <v>05.11.17 Приборы, системы и изделия медицинского назначения</v>
      </c>
    </row>
    <row r="18" customFormat="false" ht="78.75" hidden="false" customHeight="false" outlineLevel="0" collapsed="false">
      <c r="A18" s="67" t="s">
        <v>507</v>
      </c>
      <c r="B18" s="67" t="s">
        <v>655</v>
      </c>
      <c r="C18" s="103" t="s">
        <v>656</v>
      </c>
      <c r="D18" s="69" t="s">
        <v>657</v>
      </c>
      <c r="E18" s="67" t="str">
        <f aca="false">CONCATENATE(C18," ",D18)</f>
        <v>05.11.16 Информационноизмерительные и управляющие системы (по отраслям)</v>
      </c>
    </row>
    <row r="19" customFormat="false" ht="47.25" hidden="false" customHeight="false" outlineLevel="0" collapsed="false">
      <c r="A19" s="67" t="s">
        <v>658</v>
      </c>
      <c r="B19" s="67" t="s">
        <v>659</v>
      </c>
      <c r="C19" s="103" t="s">
        <v>660</v>
      </c>
      <c r="D19" s="69" t="s">
        <v>659</v>
      </c>
      <c r="E19" s="67" t="str">
        <f aca="false">CONCATENATE(C19," ",D19)</f>
        <v>05.09.03 Электротехнические комплексы и системы</v>
      </c>
    </row>
    <row r="20" customFormat="false" ht="63" hidden="false" customHeight="false" outlineLevel="0" collapsed="false">
      <c r="A20" s="67" t="s">
        <v>510</v>
      </c>
      <c r="B20" s="67" t="s">
        <v>661</v>
      </c>
      <c r="C20" s="103" t="s">
        <v>662</v>
      </c>
      <c r="D20" s="69" t="s">
        <v>663</v>
      </c>
      <c r="E20" s="67" t="str">
        <f aca="false">CONCATENATE(C20," ",D20)</f>
        <v>05.02.13 Машины, агрегаты и процессы (по отраслям)</v>
      </c>
    </row>
    <row r="21" customFormat="false" ht="78.75" hidden="false" customHeight="false" outlineLevel="0" collapsed="false">
      <c r="A21" s="67" t="s">
        <v>664</v>
      </c>
      <c r="B21" s="67" t="s">
        <v>127</v>
      </c>
      <c r="C21" s="103" t="s">
        <v>665</v>
      </c>
      <c r="D21" s="69" t="s">
        <v>127</v>
      </c>
      <c r="E21" s="67" t="str">
        <f aca="false">CONCATENATE(C21," ",D21)</f>
        <v>05.17.03 Технология электрохимических процессов и защита от коррозии</v>
      </c>
    </row>
    <row r="22" customFormat="false" ht="63" hidden="false" customHeight="false" outlineLevel="0" collapsed="false">
      <c r="A22" s="67" t="s">
        <v>513</v>
      </c>
      <c r="B22" s="104" t="s">
        <v>666</v>
      </c>
      <c r="C22" s="103" t="s">
        <v>667</v>
      </c>
      <c r="D22" s="69" t="s">
        <v>64</v>
      </c>
      <c r="E22" s="67" t="str">
        <f aca="false">CONCATENATE(C22," ",D22)</f>
        <v>05.17.08 Процессы и аппараты химических технологий</v>
      </c>
    </row>
    <row r="23" customFormat="false" ht="94.5" hidden="false" customHeight="false" outlineLevel="0" collapsed="false">
      <c r="A23" s="67" t="s">
        <v>516</v>
      </c>
      <c r="B23" s="67" t="s">
        <v>668</v>
      </c>
      <c r="C23" s="103" t="s">
        <v>632</v>
      </c>
      <c r="D23" s="69" t="s">
        <v>633</v>
      </c>
      <c r="E23" s="67" t="str">
        <f aca="false">CONCATENATE(C23," ",D23)</f>
        <v>05.13.06 Автоматизация и управление технологическими процессами и производствами (по отраслям)</v>
      </c>
    </row>
    <row r="24" customFormat="false" ht="78.75" hidden="false" customHeight="false" outlineLevel="0" collapsed="false">
      <c r="A24" s="67" t="s">
        <v>669</v>
      </c>
      <c r="B24" s="67" t="s">
        <v>655</v>
      </c>
      <c r="C24" s="103" t="s">
        <v>656</v>
      </c>
      <c r="D24" s="69" t="s">
        <v>657</v>
      </c>
      <c r="E24" s="67" t="str">
        <f aca="false">CONCATENATE(C24," ",D24)</f>
        <v>05.11.16 Информационноизмерительные и управляющие системы (по отраслям)</v>
      </c>
    </row>
    <row r="25" customFormat="false" ht="47.25" hidden="false" customHeight="false" outlineLevel="0" collapsed="false">
      <c r="A25" s="67" t="s">
        <v>518</v>
      </c>
      <c r="B25" s="67" t="s">
        <v>137</v>
      </c>
      <c r="C25" s="103" t="s">
        <v>670</v>
      </c>
      <c r="D25" s="69" t="s">
        <v>671</v>
      </c>
      <c r="E25" s="67" t="str">
        <f aca="false">CONCATENATE(C25," ",D25)</f>
        <v>05.16.08 Нанотехнологии и наноматериалы (по отраслям)</v>
      </c>
    </row>
    <row r="26" customFormat="false" ht="78.75" hidden="false" customHeight="false" outlineLevel="0" collapsed="false">
      <c r="A26" s="67" t="s">
        <v>672</v>
      </c>
      <c r="B26" s="67" t="s">
        <v>673</v>
      </c>
      <c r="C26" s="103" t="s">
        <v>674</v>
      </c>
      <c r="D26" s="69" t="s">
        <v>673</v>
      </c>
      <c r="E26" s="67" t="str">
        <f aca="false">CONCATENATE(C26," ",D26)</f>
        <v>05.20.01 Технологии и средства механизации сельского хозяйства</v>
      </c>
    </row>
    <row r="27" customFormat="false" ht="78.75" hidden="false" customHeight="false" outlineLevel="0" collapsed="false">
      <c r="A27" s="67" t="s">
        <v>531</v>
      </c>
      <c r="B27" s="104" t="s">
        <v>675</v>
      </c>
      <c r="C27" s="103" t="s">
        <v>676</v>
      </c>
      <c r="D27" s="69" t="s">
        <v>677</v>
      </c>
      <c r="E27" s="67" t="str">
        <f aca="false">CONCATENATE(C27," ",D27)</f>
        <v>08.00.05 Экономика и управление народным хозяйством (по отраслям)</v>
      </c>
    </row>
    <row r="28" customFormat="false" ht="63" hidden="false" customHeight="false" outlineLevel="0" collapsed="false">
      <c r="A28" s="67" t="s">
        <v>532</v>
      </c>
      <c r="B28" s="67" t="s">
        <v>678</v>
      </c>
      <c r="C28" s="103" t="s">
        <v>679</v>
      </c>
      <c r="D28" s="69" t="s">
        <v>678</v>
      </c>
      <c r="E28" s="67" t="str">
        <f aca="false">CONCATENATE(C28," ",D28)</f>
        <v>08.00.10 Финансы, денежное обращение и кредит</v>
      </c>
    </row>
    <row r="29" customFormat="false" ht="63" hidden="false" customHeight="false" outlineLevel="0" collapsed="false">
      <c r="A29" s="67" t="s">
        <v>528</v>
      </c>
      <c r="B29" s="67" t="s">
        <v>680</v>
      </c>
      <c r="C29" s="103" t="s">
        <v>681</v>
      </c>
      <c r="D29" s="69" t="s">
        <v>680</v>
      </c>
      <c r="E29" s="67" t="str">
        <f aca="false">CONCATENATE(C29," ",D29)</f>
        <v>23.00.02 Политические институты, процессы и технологии</v>
      </c>
    </row>
    <row r="30" customFormat="false" ht="18.75" hidden="false" customHeight="false" outlineLevel="0" collapsed="false">
      <c r="A30" s="67" t="s">
        <v>521</v>
      </c>
      <c r="B30" s="104" t="s">
        <v>682</v>
      </c>
      <c r="C30" s="103" t="s">
        <v>683</v>
      </c>
      <c r="D30" s="69" t="s">
        <v>682</v>
      </c>
      <c r="E30" s="67" t="str">
        <f aca="false">CONCATENATE(C30," ",D30)</f>
        <v>10.02.19 Теория языка</v>
      </c>
    </row>
    <row r="31" customFormat="false" ht="31.5" hidden="false" customHeight="false" outlineLevel="0" collapsed="false">
      <c r="A31" s="67" t="s">
        <v>524</v>
      </c>
      <c r="B31" s="67" t="s">
        <v>684</v>
      </c>
      <c r="C31" s="103" t="s">
        <v>685</v>
      </c>
      <c r="D31" s="69" t="s">
        <v>684</v>
      </c>
      <c r="E31" s="67" t="str">
        <f aca="false">CONCATENATE(C31," ",D31)</f>
        <v>07.00.02 Отечественная история</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3" activeCellId="0" sqref="I13"/>
    </sheetView>
  </sheetViews>
  <sheetFormatPr defaultColWidth="8.6796875" defaultRowHeight="15" zeroHeight="false" outlineLevelRow="0" outlineLevelCol="0"/>
  <cols>
    <col collapsed="false" customWidth="true" hidden="false" outlineLevel="0" max="3" min="1" style="105" width="9.14"/>
  </cols>
  <sheetData>
    <row r="1" customFormat="false" ht="15" hidden="false" customHeight="false" outlineLevel="0" collapsed="false">
      <c r="A1" s="105" t="s">
        <v>400</v>
      </c>
      <c r="B1" s="105" t="s">
        <v>401</v>
      </c>
      <c r="C1" s="105" t="s">
        <v>402</v>
      </c>
    </row>
    <row r="2" customFormat="false" ht="15" hidden="false" customHeight="false" outlineLevel="0" collapsed="false">
      <c r="A2" s="106" t="s">
        <v>395</v>
      </c>
      <c r="B2" s="105" t="s">
        <v>686</v>
      </c>
      <c r="C2" s="105" t="n">
        <v>12</v>
      </c>
    </row>
    <row r="3" customFormat="false" ht="15" hidden="false" customHeight="false" outlineLevel="0" collapsed="false">
      <c r="A3" s="106" t="s">
        <v>687</v>
      </c>
      <c r="B3" s="105" t="s">
        <v>688</v>
      </c>
      <c r="C3" s="105" t="n">
        <v>13</v>
      </c>
    </row>
    <row r="4" customFormat="false" ht="15" hidden="false" customHeight="false" outlineLevel="0" collapsed="false">
      <c r="A4" s="106" t="s">
        <v>689</v>
      </c>
      <c r="B4" s="105" t="s">
        <v>690</v>
      </c>
      <c r="C4" s="105" t="n">
        <v>14</v>
      </c>
    </row>
    <row r="5" customFormat="false" ht="15" hidden="false" customHeight="false" outlineLevel="0" collapsed="false">
      <c r="A5" s="106" t="s">
        <v>447</v>
      </c>
      <c r="B5" s="105" t="s">
        <v>691</v>
      </c>
      <c r="C5" s="105" t="n">
        <v>15</v>
      </c>
    </row>
    <row r="6" customFormat="false" ht="15" hidden="false" customHeight="false" outlineLevel="0" collapsed="false">
      <c r="A6" s="106" t="s">
        <v>692</v>
      </c>
      <c r="B6" s="105" t="s">
        <v>693</v>
      </c>
      <c r="C6" s="105" t="n">
        <v>16</v>
      </c>
    </row>
    <row r="7" customFormat="false" ht="15" hidden="false" customHeight="false" outlineLevel="0" collapsed="false">
      <c r="A7" s="106" t="s">
        <v>694</v>
      </c>
      <c r="B7" s="105" t="s">
        <v>695</v>
      </c>
      <c r="C7" s="105" t="n">
        <v>17</v>
      </c>
    </row>
    <row r="8" customFormat="false" ht="15" hidden="false" customHeight="false" outlineLevel="0" collapsed="false">
      <c r="A8" s="106" t="s">
        <v>457</v>
      </c>
      <c r="B8" s="105" t="s">
        <v>458</v>
      </c>
      <c r="C8" s="105" t="n">
        <v>18</v>
      </c>
    </row>
    <row r="9" customFormat="false" ht="15" hidden="false" customHeight="false" outlineLevel="0" collapsed="false">
      <c r="A9" s="106" t="s">
        <v>696</v>
      </c>
      <c r="B9" s="105" t="s">
        <v>399</v>
      </c>
      <c r="C9" s="105" t="n">
        <v>19</v>
      </c>
    </row>
    <row r="10" customFormat="false" ht="15" hidden="false" customHeight="false" outlineLevel="0" collapsed="false">
      <c r="A10" s="106" t="s">
        <v>697</v>
      </c>
      <c r="B10" s="105" t="s">
        <v>396</v>
      </c>
      <c r="C10" s="105" t="n">
        <v>20</v>
      </c>
    </row>
    <row r="11" customFormat="false" ht="15" hidden="false" customHeight="false" outlineLevel="0" collapsed="false">
      <c r="A11" s="106" t="s">
        <v>698</v>
      </c>
      <c r="B11" s="105" t="s">
        <v>407</v>
      </c>
      <c r="C11" s="105" t="n">
        <v>21</v>
      </c>
    </row>
    <row r="12" customFormat="false" ht="15" hidden="false" customHeight="false" outlineLevel="0" collapsed="false">
      <c r="A12" s="106" t="s">
        <v>699</v>
      </c>
      <c r="B12" s="105" t="s">
        <v>700</v>
      </c>
      <c r="C12" s="105" t="n">
        <v>22</v>
      </c>
    </row>
    <row r="13" customFormat="false" ht="15" hidden="false" customHeight="false" outlineLevel="0" collapsed="false">
      <c r="A13" s="106" t="s">
        <v>701</v>
      </c>
      <c r="B13" s="105" t="s">
        <v>702</v>
      </c>
      <c r="C13" s="105" t="n">
        <v>23</v>
      </c>
    </row>
    <row r="14" customFormat="false" ht="15" hidden="false" customHeight="false" outlineLevel="0" collapsed="false">
      <c r="A14" s="106" t="s">
        <v>703</v>
      </c>
    </row>
    <row r="15" customFormat="false" ht="15" hidden="false" customHeight="false" outlineLevel="0" collapsed="false">
      <c r="A15" s="106" t="s">
        <v>704</v>
      </c>
    </row>
    <row r="16" customFormat="false" ht="15" hidden="false" customHeight="false" outlineLevel="0" collapsed="false">
      <c r="A16" s="106" t="s">
        <v>705</v>
      </c>
    </row>
    <row r="17" customFormat="false" ht="15" hidden="false" customHeight="false" outlineLevel="0" collapsed="false">
      <c r="A17" s="106" t="s">
        <v>706</v>
      </c>
    </row>
    <row r="18" customFormat="false" ht="15" hidden="false" customHeight="false" outlineLevel="0" collapsed="false">
      <c r="A18" s="106" t="s">
        <v>707</v>
      </c>
    </row>
    <row r="19" customFormat="false" ht="15" hidden="false" customHeight="false" outlineLevel="0" collapsed="false">
      <c r="A19" s="106" t="s">
        <v>426</v>
      </c>
    </row>
    <row r="20" customFormat="false" ht="15" hidden="false" customHeight="false" outlineLevel="0" collapsed="false">
      <c r="A20" s="106" t="s">
        <v>398</v>
      </c>
    </row>
    <row r="21" customFormat="false" ht="15" hidden="false" customHeight="false" outlineLevel="0" collapsed="false">
      <c r="A21" s="106" t="s">
        <v>708</v>
      </c>
    </row>
    <row r="22" customFormat="false" ht="15" hidden="false" customHeight="false" outlineLevel="0" collapsed="false">
      <c r="A22" s="106" t="s">
        <v>463</v>
      </c>
    </row>
    <row r="23" customFormat="false" ht="15" hidden="false" customHeight="false" outlineLevel="0" collapsed="false">
      <c r="A23" s="106" t="s">
        <v>709</v>
      </c>
    </row>
    <row r="24" customFormat="false" ht="15" hidden="false" customHeight="false" outlineLevel="0" collapsed="false">
      <c r="A24" s="106" t="s">
        <v>710</v>
      </c>
    </row>
    <row r="25" customFormat="false" ht="15" hidden="false" customHeight="false" outlineLevel="0" collapsed="false">
      <c r="A25" s="106" t="s">
        <v>711</v>
      </c>
    </row>
    <row r="26" customFormat="false" ht="15" hidden="false" customHeight="false" outlineLevel="0" collapsed="false">
      <c r="A26" s="106" t="s">
        <v>712</v>
      </c>
    </row>
    <row r="27" customFormat="false" ht="15" hidden="false" customHeight="false" outlineLevel="0" collapsed="false">
      <c r="A27" s="106" t="s">
        <v>444</v>
      </c>
    </row>
    <row r="28" customFormat="false" ht="15" hidden="false" customHeight="false" outlineLevel="0" collapsed="false">
      <c r="A28" s="106" t="s">
        <v>466</v>
      </c>
    </row>
    <row r="29" customFormat="false" ht="15" hidden="false" customHeight="false" outlineLevel="0" collapsed="false">
      <c r="A29" s="106" t="s">
        <v>713</v>
      </c>
    </row>
    <row r="30" customFormat="false" ht="15" hidden="false" customHeight="false" outlineLevel="0" collapsed="false">
      <c r="A30" s="106" t="s">
        <v>714</v>
      </c>
    </row>
    <row r="31" customFormat="false" ht="15" hidden="false" customHeight="false" outlineLevel="0" collapsed="false">
      <c r="A31" s="106" t="s">
        <v>715</v>
      </c>
    </row>
    <row r="32" customFormat="false" ht="15" hidden="false" customHeight="false" outlineLevel="0" collapsed="false">
      <c r="A32" s="106" t="s">
        <v>406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9.1484375" defaultRowHeight="15" zeroHeight="false" outlineLevelRow="0" outlineLevelCol="0"/>
  <cols>
    <col collapsed="false" customWidth="true" hidden="false" outlineLevel="0" max="2" min="1" style="107" width="80.71"/>
    <col collapsed="false" customWidth="false" hidden="false" outlineLevel="0" max="16384" min="3" style="107" width="9.14"/>
  </cols>
  <sheetData>
    <row r="1" s="108" customFormat="true" ht="18.75" hidden="false" customHeight="false" outlineLevel="0" collapsed="false">
      <c r="A1" s="65" t="s">
        <v>8</v>
      </c>
      <c r="B1" s="65" t="s">
        <v>539</v>
      </c>
    </row>
    <row r="2" customFormat="false" ht="37.5" hidden="false" customHeight="false" outlineLevel="0" collapsed="false">
      <c r="A2" s="67" t="s">
        <v>716</v>
      </c>
      <c r="B2" s="67" t="s">
        <v>717</v>
      </c>
    </row>
    <row r="3" customFormat="false" ht="37.5" hidden="false" customHeight="false" outlineLevel="0" collapsed="false">
      <c r="A3" s="109" t="s">
        <v>582</v>
      </c>
      <c r="B3" s="109" t="s">
        <v>557</v>
      </c>
    </row>
    <row r="4" customFormat="false" ht="37.5" hidden="false" customHeight="false" outlineLevel="0" collapsed="false">
      <c r="A4" s="109"/>
      <c r="B4" s="110" t="s">
        <v>547</v>
      </c>
    </row>
    <row r="5" customFormat="false" ht="56.25" hidden="false" customHeight="false" outlineLevel="0" collapsed="false">
      <c r="B5" s="109" t="s">
        <v>583</v>
      </c>
    </row>
    <row r="6" customFormat="false" ht="18.75" hidden="false" customHeight="false" outlineLevel="0" collapsed="false">
      <c r="B6" s="109"/>
    </row>
    <row r="7" customFormat="false" ht="75" hidden="false" customHeight="false" outlineLevel="0" collapsed="false">
      <c r="B7" s="109" t="s">
        <v>718</v>
      </c>
    </row>
    <row r="8" customFormat="false" ht="18.75" hidden="false" customHeight="false" outlineLevel="0" collapsed="false">
      <c r="B8" s="109"/>
    </row>
    <row r="9" customFormat="false" ht="18.75" hidden="false" customHeight="false" outlineLevel="0" collapsed="false">
      <c r="B9" s="109"/>
    </row>
    <row r="10" customFormat="false" ht="18.75" hidden="false" customHeight="false" outlineLevel="0" collapsed="false">
      <c r="B10" s="109"/>
    </row>
    <row r="11" customFormat="false" ht="18.75" hidden="false" customHeight="false" outlineLevel="0" collapsed="false">
      <c r="B11" s="109"/>
    </row>
    <row r="12" customFormat="false" ht="18.75" hidden="false" customHeight="false" outlineLevel="0" collapsed="false">
      <c r="B12" s="10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9.1484375" defaultRowHeight="15" zeroHeight="false" outlineLevelRow="0" outlineLevelCol="0"/>
  <cols>
    <col collapsed="false" customWidth="true" hidden="false" outlineLevel="0" max="2" min="1" style="107" width="80.71"/>
    <col collapsed="false" customWidth="false" hidden="false" outlineLevel="0" max="16384" min="3" style="107" width="9.14"/>
  </cols>
  <sheetData>
    <row r="1" s="108" customFormat="true" ht="18.75" hidden="false" customHeight="false" outlineLevel="0" collapsed="false">
      <c r="A1" s="65" t="s">
        <v>8</v>
      </c>
      <c r="B1" s="65" t="s">
        <v>539</v>
      </c>
    </row>
    <row r="2" s="108" customFormat="true" ht="56.25" hidden="false" customHeight="false" outlineLevel="0" collapsed="false">
      <c r="A2" s="67" t="s">
        <v>719</v>
      </c>
      <c r="B2" s="67" t="s">
        <v>720</v>
      </c>
    </row>
    <row r="3" customFormat="false" ht="56.25" hidden="false" customHeight="false" outlineLevel="0" collapsed="false">
      <c r="A3" s="111" t="s">
        <v>721</v>
      </c>
      <c r="B3" s="67" t="s">
        <v>722</v>
      </c>
    </row>
    <row r="4" customFormat="false" ht="37.5" hidden="false" customHeight="false" outlineLevel="0" collapsed="false">
      <c r="A4" s="67"/>
      <c r="B4" s="110" t="s">
        <v>110</v>
      </c>
    </row>
    <row r="5" customFormat="false" ht="37.5" hidden="false" customHeight="false" outlineLevel="0" collapsed="false">
      <c r="A5" s="67"/>
      <c r="B5" s="109" t="s">
        <v>132</v>
      </c>
    </row>
    <row r="6" customFormat="false" ht="38.25" hidden="false" customHeight="true" outlineLevel="0" collapsed="false">
      <c r="B6" s="109" t="s">
        <v>559</v>
      </c>
    </row>
    <row r="7" customFormat="false" ht="37.5" hidden="false" customHeight="false" outlineLevel="0" collapsed="false">
      <c r="B7" s="109" t="s">
        <v>560</v>
      </c>
    </row>
    <row r="8" customFormat="false" ht="37.5" hidden="false" customHeight="false" outlineLevel="0" collapsed="false">
      <c r="B8" s="109" t="s">
        <v>561</v>
      </c>
    </row>
    <row r="9" customFormat="false" ht="37.5" hidden="false" customHeight="false" outlineLevel="0" collapsed="false">
      <c r="B9" s="109" t="s">
        <v>565</v>
      </c>
    </row>
    <row r="10" customFormat="false" ht="37.5" hidden="false" customHeight="false" outlineLevel="0" collapsed="false">
      <c r="B10" s="109" t="s">
        <v>568</v>
      </c>
    </row>
    <row r="11" customFormat="false" ht="56.25" hidden="false" customHeight="false" outlineLevel="0" collapsed="false">
      <c r="B11" s="109" t="s">
        <v>574</v>
      </c>
    </row>
    <row r="12" customFormat="false" ht="56.25" hidden="false" customHeight="false" outlineLevel="0" collapsed="false">
      <c r="B12" s="109" t="s">
        <v>575</v>
      </c>
    </row>
    <row r="13" customFormat="false" ht="37.5" hidden="false" customHeight="false" outlineLevel="0" collapsed="false">
      <c r="B13" s="109" t="s">
        <v>95</v>
      </c>
    </row>
    <row r="14" customFormat="false" ht="56.25" hidden="false" customHeight="false" outlineLevel="0" collapsed="false">
      <c r="B14" s="109" t="s">
        <v>587</v>
      </c>
    </row>
    <row r="15" customFormat="false" ht="56.25" hidden="false" customHeight="false" outlineLevel="0" collapsed="false">
      <c r="B15" s="109" t="s">
        <v>592</v>
      </c>
    </row>
    <row r="16" customFormat="false" ht="56.25" hidden="false" customHeight="false" outlineLevel="0" collapsed="false">
      <c r="B16" s="109" t="s">
        <v>593</v>
      </c>
    </row>
    <row r="17" customFormat="false" ht="56.25" hidden="false" customHeight="false" outlineLevel="0" collapsed="false">
      <c r="B17" s="109" t="s">
        <v>599</v>
      </c>
    </row>
    <row r="18" customFormat="false" ht="37.5" hidden="false" customHeight="false" outlineLevel="0" collapsed="false">
      <c r="B18" s="109" t="s">
        <v>600</v>
      </c>
    </row>
    <row r="19" customFormat="false" ht="37.5" hidden="false" customHeight="false" outlineLevel="0" collapsed="false">
      <c r="B19" s="109" t="s">
        <v>601</v>
      </c>
    </row>
    <row r="20" customFormat="false" ht="37.5" hidden="false" customHeight="false" outlineLevel="0" collapsed="false">
      <c r="B20" s="109" t="s">
        <v>595</v>
      </c>
    </row>
    <row r="21" customFormat="false" ht="37.5" hidden="false" customHeight="false" outlineLevel="0" collapsed="false">
      <c r="B21" s="109" t="s">
        <v>604</v>
      </c>
    </row>
    <row r="22" customFormat="false" ht="18.75" hidden="false" customHeight="false" outlineLevel="0" collapsed="false">
      <c r="B22" s="109"/>
    </row>
    <row r="23" customFormat="false" ht="18.75" hidden="false" customHeight="false" outlineLevel="0" collapsed="false">
      <c r="B23" s="109"/>
    </row>
    <row r="24" customFormat="false" ht="18.75" hidden="false" customHeight="false" outlineLevel="0" collapsed="false">
      <c r="B24" s="109"/>
    </row>
    <row r="25" customFormat="false" ht="18.75" hidden="false" customHeight="false" outlineLevel="0" collapsed="false">
      <c r="B25" s="109"/>
    </row>
    <row r="26" customFormat="false" ht="18.75" hidden="false" customHeight="false" outlineLevel="0" collapsed="false">
      <c r="B26" s="109"/>
    </row>
    <row r="27" customFormat="false" ht="18.75" hidden="false" customHeight="false" outlineLevel="0" collapsed="false">
      <c r="B27" s="109"/>
    </row>
    <row r="28" customFormat="false" ht="18.75" hidden="false" customHeight="false" outlineLevel="0" collapsed="false">
      <c r="B28" s="10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8" activeCellId="0" sqref="E18"/>
    </sheetView>
  </sheetViews>
  <sheetFormatPr defaultColWidth="9.1484375" defaultRowHeight="15" zeroHeight="false" outlineLevelRow="0" outlineLevelCol="0"/>
  <cols>
    <col collapsed="false" customWidth="true" hidden="false" outlineLevel="0" max="2" min="1" style="107" width="80.71"/>
    <col collapsed="false" customWidth="false" hidden="false" outlineLevel="0" max="16384" min="3" style="107" width="9.14"/>
  </cols>
  <sheetData>
    <row r="1" s="108" customFormat="true" ht="18.75" hidden="false" customHeight="false" outlineLevel="0" collapsed="false">
      <c r="A1" s="65" t="s">
        <v>8</v>
      </c>
      <c r="B1" s="65" t="s">
        <v>539</v>
      </c>
    </row>
    <row r="2" s="108" customFormat="true" ht="56.25" hidden="false" customHeight="false" outlineLevel="0" collapsed="false">
      <c r="A2" s="67" t="s">
        <v>723</v>
      </c>
      <c r="B2" s="67" t="s">
        <v>724</v>
      </c>
    </row>
    <row r="3" customFormat="false" ht="37.5" hidden="false" customHeight="false" outlineLevel="0" collapsed="false">
      <c r="A3" s="67" t="s">
        <v>562</v>
      </c>
      <c r="B3" s="109" t="s">
        <v>132</v>
      </c>
    </row>
    <row r="4" customFormat="false" ht="56.25" hidden="false" customHeight="false" outlineLevel="0" collapsed="false">
      <c r="A4" s="109" t="s">
        <v>45</v>
      </c>
      <c r="B4" s="109" t="s">
        <v>563</v>
      </c>
    </row>
    <row r="5" customFormat="false" ht="37.5" hidden="false" customHeight="false" outlineLevel="0" collapsed="false">
      <c r="A5" s="109" t="s">
        <v>577</v>
      </c>
      <c r="B5" s="109" t="s">
        <v>564</v>
      </c>
    </row>
    <row r="6" customFormat="false" ht="37.5" hidden="false" customHeight="false" outlineLevel="0" collapsed="false">
      <c r="A6" s="109" t="s">
        <v>95</v>
      </c>
      <c r="B6" s="109" t="s">
        <v>565</v>
      </c>
    </row>
    <row r="7" customFormat="false" ht="75" hidden="false" customHeight="false" outlineLevel="0" collapsed="false">
      <c r="A7" s="109" t="s">
        <v>582</v>
      </c>
      <c r="B7" s="109" t="s">
        <v>569</v>
      </c>
    </row>
    <row r="8" customFormat="false" ht="37.5" hidden="false" customHeight="false" outlineLevel="0" collapsed="false">
      <c r="A8" s="109" t="s">
        <v>138</v>
      </c>
      <c r="B8" s="109" t="s">
        <v>570</v>
      </c>
    </row>
    <row r="9" customFormat="false" ht="56.25" hidden="false" customHeight="false" outlineLevel="0" collapsed="false">
      <c r="A9" s="109" t="s">
        <v>593</v>
      </c>
      <c r="B9" s="109" t="s">
        <v>578</v>
      </c>
    </row>
    <row r="10" customFormat="false" ht="37.5" hidden="false" customHeight="false" outlineLevel="0" collapsed="false">
      <c r="A10" s="109" t="s">
        <v>75</v>
      </c>
      <c r="B10" s="109" t="s">
        <v>579</v>
      </c>
    </row>
    <row r="11" customFormat="false" ht="75" hidden="false" customHeight="false" outlineLevel="0" collapsed="false">
      <c r="A11" s="109" t="s">
        <v>608</v>
      </c>
      <c r="B11" s="109" t="s">
        <v>580</v>
      </c>
    </row>
    <row r="12" customFormat="false" ht="37.5" hidden="false" customHeight="false" outlineLevel="0" collapsed="false">
      <c r="A12" s="109"/>
      <c r="B12" s="109" t="s">
        <v>99</v>
      </c>
    </row>
    <row r="13" customFormat="false" ht="75" hidden="false" customHeight="false" outlineLevel="0" collapsed="false">
      <c r="B13" s="109" t="s">
        <v>585</v>
      </c>
    </row>
    <row r="14" customFormat="false" ht="56.25" hidden="false" customHeight="false" outlineLevel="0" collapsed="false">
      <c r="B14" s="109" t="s">
        <v>586</v>
      </c>
    </row>
    <row r="15" customFormat="false" ht="56.25" hidden="false" customHeight="false" outlineLevel="0" collapsed="false">
      <c r="B15" s="109" t="s">
        <v>589</v>
      </c>
    </row>
    <row r="16" customFormat="false" ht="56.25" hidden="false" customHeight="false" outlineLevel="0" collapsed="false">
      <c r="B16" s="109" t="s">
        <v>590</v>
      </c>
    </row>
    <row r="17" customFormat="false" ht="56.25" hidden="false" customHeight="false" outlineLevel="0" collapsed="false">
      <c r="B17" s="109" t="s">
        <v>594</v>
      </c>
    </row>
    <row r="18" customFormat="false" ht="56.25" hidden="false" customHeight="false" outlineLevel="0" collapsed="false">
      <c r="B18" s="109" t="s">
        <v>597</v>
      </c>
    </row>
    <row r="19" customFormat="false" ht="37.5" hidden="false" customHeight="false" outlineLevel="0" collapsed="false">
      <c r="B19" s="109" t="s">
        <v>79</v>
      </c>
    </row>
    <row r="20" customFormat="false" ht="56.25" hidden="false" customHeight="false" outlineLevel="0" collapsed="false">
      <c r="B20" s="109" t="s">
        <v>605</v>
      </c>
    </row>
    <row r="21" customFormat="false" ht="37.5" hidden="false" customHeight="false" outlineLevel="0" collapsed="false">
      <c r="B21" s="109" t="s">
        <v>606</v>
      </c>
    </row>
    <row r="22" customFormat="false" ht="56.25" hidden="false" customHeight="false" outlineLevel="0" collapsed="false">
      <c r="B22" s="109" t="s">
        <v>609</v>
      </c>
    </row>
    <row r="23" customFormat="false" ht="37.5" hidden="false" customHeight="false" outlineLevel="0" collapsed="false">
      <c r="B23" s="109" t="s">
        <v>610</v>
      </c>
    </row>
    <row r="24" customFormat="false" ht="18.75" hidden="false" customHeight="false" outlineLevel="0" collapsed="false">
      <c r="B24" s="109"/>
    </row>
    <row r="25" customFormat="false" ht="18.75" hidden="false" customHeight="false" outlineLevel="0" collapsed="false">
      <c r="B25" s="109"/>
    </row>
    <row r="26" customFormat="false" ht="18.75" hidden="false" customHeight="false" outlineLevel="0" collapsed="false">
      <c r="B26" s="109"/>
    </row>
    <row r="27" customFormat="false" ht="18.75" hidden="false" customHeight="false" outlineLevel="0" collapsed="false">
      <c r="B27" s="109"/>
    </row>
    <row r="28" customFormat="false" ht="18.75" hidden="false" customHeight="false" outlineLevel="0" collapsed="false">
      <c r="B28" s="10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0"/>
  <sheetViews>
    <sheetView showFormulas="false" showGridLines="true" showRowColHeaders="true" showZeros="true" rightToLeft="false" tabSelected="false" showOutlineSymbols="true" defaultGridColor="true" view="normal" topLeftCell="A30" colorId="64" zoomScale="100" zoomScaleNormal="100" zoomScalePageLayoutView="100" workbookViewId="0">
      <selection pane="topLeft" activeCell="A30" activeCellId="0" sqref="A30"/>
    </sheetView>
  </sheetViews>
  <sheetFormatPr defaultColWidth="9.1484375" defaultRowHeight="15" zeroHeight="false" outlineLevelRow="0" outlineLevelCol="0"/>
  <cols>
    <col collapsed="false" customWidth="true" hidden="false" outlineLevel="0" max="1" min="1" style="45" width="19.86"/>
    <col collapsed="false" customWidth="true" hidden="false" outlineLevel="0" max="2" min="2" style="45" width="17.71"/>
    <col collapsed="false" customWidth="true" hidden="false" outlineLevel="0" max="3" min="3" style="45" width="15.71"/>
    <col collapsed="false" customWidth="true" hidden="false" outlineLevel="0" max="4" min="4" style="45" width="40.43"/>
    <col collapsed="false" customWidth="true" hidden="false" outlineLevel="0" max="5" min="5" style="45" width="16.71"/>
    <col collapsed="false" customWidth="true" hidden="false" outlineLevel="0" max="6" min="6" style="45" width="40.43"/>
    <col collapsed="false" customWidth="true" hidden="false" outlineLevel="0" max="7" min="7" style="45" width="15.14"/>
    <col collapsed="false" customWidth="true" hidden="false" outlineLevel="0" max="8" min="8" style="45" width="40.14"/>
    <col collapsed="false" customWidth="true" hidden="false" outlineLevel="0" max="9" min="9" style="45" width="17"/>
    <col collapsed="false" customWidth="true" hidden="false" outlineLevel="0" max="10" min="10" style="45" width="19.86"/>
    <col collapsed="false" customWidth="true" hidden="false" outlineLevel="0" max="11" min="11" style="45" width="20.14"/>
    <col collapsed="false" customWidth="false" hidden="false" outlineLevel="0" max="16384" min="12" style="46" width="9.14"/>
  </cols>
  <sheetData>
    <row r="1" customFormat="false" ht="60" hidden="false" customHeight="false" outlineLevel="0" collapsed="false">
      <c r="A1" s="45" t="s">
        <v>15</v>
      </c>
      <c r="B1" s="45" t="s">
        <v>25</v>
      </c>
      <c r="C1" s="45" t="s">
        <v>26</v>
      </c>
      <c r="D1" s="45" t="s">
        <v>8</v>
      </c>
      <c r="E1" s="45" t="s">
        <v>27</v>
      </c>
      <c r="F1" s="45" t="s">
        <v>28</v>
      </c>
      <c r="G1" s="45" t="s">
        <v>27</v>
      </c>
      <c r="H1" s="45" t="s">
        <v>29</v>
      </c>
      <c r="I1" s="45" t="s">
        <v>27</v>
      </c>
      <c r="J1" s="45" t="s">
        <v>30</v>
      </c>
    </row>
    <row r="2" customFormat="false" ht="120" hidden="false" customHeight="false" outlineLevel="0" collapsed="false">
      <c r="A2" s="45" t="s">
        <v>725</v>
      </c>
      <c r="B2" s="45" t="s">
        <v>726</v>
      </c>
      <c r="C2" s="45" t="s">
        <v>727</v>
      </c>
      <c r="D2" s="45" t="s">
        <v>728</v>
      </c>
      <c r="E2" s="45" t="s">
        <v>729</v>
      </c>
      <c r="F2" s="45" t="s">
        <v>730</v>
      </c>
      <c r="G2" s="45" t="s">
        <v>731</v>
      </c>
      <c r="H2" s="45" t="s">
        <v>732</v>
      </c>
      <c r="I2" s="45" t="s">
        <v>133</v>
      </c>
      <c r="J2" s="45" t="s">
        <v>733</v>
      </c>
      <c r="K2" s="45" t="s">
        <v>734</v>
      </c>
    </row>
    <row r="3" customFormat="false" ht="75" hidden="false" customHeight="false" outlineLevel="0" collapsed="false">
      <c r="A3" s="45" t="s">
        <v>735</v>
      </c>
      <c r="D3" s="45" t="s">
        <v>728</v>
      </c>
      <c r="E3" s="45" t="s">
        <v>729</v>
      </c>
      <c r="F3" s="45" t="s">
        <v>730</v>
      </c>
      <c r="G3" s="45" t="s">
        <v>731</v>
      </c>
      <c r="H3" s="45" t="s">
        <v>565</v>
      </c>
      <c r="I3" s="45" t="s">
        <v>736</v>
      </c>
      <c r="J3" s="45" t="s">
        <v>737</v>
      </c>
      <c r="K3" s="45" t="s">
        <v>738</v>
      </c>
    </row>
    <row r="4" customFormat="false" ht="75" hidden="false" customHeight="false" outlineLevel="0" collapsed="false">
      <c r="A4" s="45" t="s">
        <v>739</v>
      </c>
      <c r="D4" s="45" t="s">
        <v>728</v>
      </c>
      <c r="E4" s="45" t="s">
        <v>729</v>
      </c>
      <c r="F4" s="45" t="s">
        <v>730</v>
      </c>
      <c r="G4" s="45" t="s">
        <v>731</v>
      </c>
      <c r="H4" s="45" t="s">
        <v>565</v>
      </c>
      <c r="I4" s="45" t="s">
        <v>736</v>
      </c>
      <c r="J4" s="45" t="s">
        <v>740</v>
      </c>
      <c r="K4" s="45" t="s">
        <v>738</v>
      </c>
    </row>
    <row r="5" customFormat="false" ht="75" hidden="false" customHeight="false" outlineLevel="0" collapsed="false">
      <c r="A5" s="45" t="s">
        <v>741</v>
      </c>
      <c r="D5" s="45" t="s">
        <v>728</v>
      </c>
      <c r="E5" s="45" t="s">
        <v>729</v>
      </c>
      <c r="F5" s="45" t="s">
        <v>730</v>
      </c>
      <c r="G5" s="45" t="s">
        <v>731</v>
      </c>
      <c r="H5" s="45" t="s">
        <v>565</v>
      </c>
      <c r="I5" s="45" t="s">
        <v>736</v>
      </c>
      <c r="J5" s="45" t="s">
        <v>742</v>
      </c>
      <c r="K5" s="45" t="s">
        <v>738</v>
      </c>
    </row>
    <row r="6" customFormat="false" ht="75" hidden="false" customHeight="false" outlineLevel="0" collapsed="false">
      <c r="A6" s="45" t="s">
        <v>743</v>
      </c>
      <c r="D6" s="45" t="s">
        <v>728</v>
      </c>
      <c r="E6" s="45" t="s">
        <v>729</v>
      </c>
      <c r="F6" s="45" t="s">
        <v>730</v>
      </c>
      <c r="G6" s="45" t="s">
        <v>731</v>
      </c>
      <c r="H6" s="45" t="s">
        <v>565</v>
      </c>
      <c r="I6" s="45" t="s">
        <v>736</v>
      </c>
      <c r="J6" s="45" t="s">
        <v>744</v>
      </c>
      <c r="K6" s="45" t="s">
        <v>745</v>
      </c>
    </row>
    <row r="7" customFormat="false" ht="75" hidden="false" customHeight="false" outlineLevel="0" collapsed="false">
      <c r="A7" s="45" t="s">
        <v>746</v>
      </c>
      <c r="D7" s="45" t="s">
        <v>728</v>
      </c>
      <c r="E7" s="45" t="s">
        <v>729</v>
      </c>
      <c r="F7" s="45" t="s">
        <v>730</v>
      </c>
      <c r="G7" s="45" t="s">
        <v>731</v>
      </c>
      <c r="H7" s="45" t="s">
        <v>565</v>
      </c>
      <c r="I7" s="45" t="s">
        <v>736</v>
      </c>
      <c r="J7" s="45" t="s">
        <v>747</v>
      </c>
      <c r="K7" s="45" t="s">
        <v>745</v>
      </c>
    </row>
    <row r="8" customFormat="false" ht="75" hidden="false" customHeight="false" outlineLevel="0" collapsed="false">
      <c r="A8" s="45" t="s">
        <v>748</v>
      </c>
      <c r="D8" s="45" t="s">
        <v>728</v>
      </c>
      <c r="E8" s="45" t="s">
        <v>729</v>
      </c>
      <c r="F8" s="45" t="s">
        <v>730</v>
      </c>
      <c r="G8" s="45" t="s">
        <v>731</v>
      </c>
      <c r="H8" s="45" t="s">
        <v>565</v>
      </c>
      <c r="I8" s="45" t="s">
        <v>736</v>
      </c>
      <c r="J8" s="45" t="s">
        <v>749</v>
      </c>
      <c r="K8" s="45" t="s">
        <v>745</v>
      </c>
    </row>
    <row r="9" customFormat="false" ht="135" hidden="false" customHeight="false" outlineLevel="0" collapsed="false">
      <c r="A9" s="45" t="s">
        <v>750</v>
      </c>
      <c r="D9" s="45" t="s">
        <v>728</v>
      </c>
      <c r="E9" s="45" t="s">
        <v>729</v>
      </c>
      <c r="F9" s="45" t="s">
        <v>730</v>
      </c>
      <c r="G9" s="45" t="s">
        <v>731</v>
      </c>
      <c r="H9" s="45" t="s">
        <v>565</v>
      </c>
      <c r="I9" s="45" t="s">
        <v>736</v>
      </c>
      <c r="J9" s="45" t="s">
        <v>751</v>
      </c>
      <c r="K9" s="45" t="s">
        <v>752</v>
      </c>
    </row>
    <row r="10" customFormat="false" ht="75" hidden="false" customHeight="false" outlineLevel="0" collapsed="false">
      <c r="A10" s="45" t="s">
        <v>753</v>
      </c>
      <c r="D10" s="45" t="s">
        <v>728</v>
      </c>
      <c r="E10" s="45" t="s">
        <v>729</v>
      </c>
      <c r="F10" s="45" t="s">
        <v>730</v>
      </c>
      <c r="G10" s="45" t="s">
        <v>731</v>
      </c>
      <c r="H10" s="45" t="s">
        <v>754</v>
      </c>
      <c r="I10" s="45" t="s">
        <v>755</v>
      </c>
      <c r="J10" s="45" t="s">
        <v>221</v>
      </c>
      <c r="K10" s="45" t="s">
        <v>756</v>
      </c>
    </row>
    <row r="11" customFormat="false" ht="75" hidden="false" customHeight="false" outlineLevel="0" collapsed="false">
      <c r="A11" s="45" t="s">
        <v>757</v>
      </c>
      <c r="D11" s="45" t="s">
        <v>728</v>
      </c>
      <c r="E11" s="45" t="s">
        <v>729</v>
      </c>
      <c r="F11" s="45" t="s">
        <v>730</v>
      </c>
      <c r="G11" s="45" t="s">
        <v>731</v>
      </c>
      <c r="H11" s="45" t="s">
        <v>754</v>
      </c>
      <c r="I11" s="45" t="s">
        <v>755</v>
      </c>
      <c r="J11" s="45" t="s">
        <v>758</v>
      </c>
      <c r="K11" s="45" t="s">
        <v>756</v>
      </c>
    </row>
    <row r="12" customFormat="false" ht="75" hidden="false" customHeight="false" outlineLevel="0" collapsed="false">
      <c r="A12" s="45" t="s">
        <v>759</v>
      </c>
      <c r="D12" s="45" t="s">
        <v>728</v>
      </c>
      <c r="E12" s="45" t="s">
        <v>729</v>
      </c>
      <c r="F12" s="45" t="s">
        <v>730</v>
      </c>
      <c r="G12" s="45" t="s">
        <v>731</v>
      </c>
      <c r="H12" s="45" t="s">
        <v>754</v>
      </c>
      <c r="I12" s="45" t="s">
        <v>755</v>
      </c>
      <c r="J12" s="45" t="s">
        <v>760</v>
      </c>
      <c r="K12" s="45" t="s">
        <v>756</v>
      </c>
    </row>
    <row r="13" customFormat="false" ht="75" hidden="false" customHeight="false" outlineLevel="0" collapsed="false">
      <c r="A13" s="45" t="s">
        <v>761</v>
      </c>
      <c r="D13" s="45" t="s">
        <v>728</v>
      </c>
      <c r="E13" s="45" t="s">
        <v>729</v>
      </c>
      <c r="F13" s="45" t="s">
        <v>730</v>
      </c>
      <c r="G13" s="45" t="s">
        <v>731</v>
      </c>
      <c r="H13" s="45" t="s">
        <v>754</v>
      </c>
      <c r="I13" s="45" t="s">
        <v>755</v>
      </c>
      <c r="J13" s="45" t="s">
        <v>762</v>
      </c>
      <c r="K13" s="45" t="s">
        <v>756</v>
      </c>
    </row>
    <row r="14" customFormat="false" ht="75" hidden="false" customHeight="false" outlineLevel="0" collapsed="false">
      <c r="A14" s="45" t="s">
        <v>763</v>
      </c>
      <c r="D14" s="45" t="s">
        <v>728</v>
      </c>
      <c r="E14" s="45" t="s">
        <v>729</v>
      </c>
      <c r="F14" s="45" t="s">
        <v>730</v>
      </c>
      <c r="G14" s="45" t="s">
        <v>731</v>
      </c>
      <c r="H14" s="45" t="s">
        <v>754</v>
      </c>
      <c r="I14" s="45" t="s">
        <v>755</v>
      </c>
      <c r="J14" s="45" t="s">
        <v>224</v>
      </c>
      <c r="K14" s="45" t="s">
        <v>756</v>
      </c>
    </row>
    <row r="15" customFormat="false" ht="105" hidden="false" customHeight="false" outlineLevel="0" collapsed="false">
      <c r="A15" s="45" t="s">
        <v>764</v>
      </c>
      <c r="D15" s="45" t="s">
        <v>728</v>
      </c>
      <c r="E15" s="45" t="s">
        <v>729</v>
      </c>
      <c r="F15" s="45" t="s">
        <v>730</v>
      </c>
      <c r="G15" s="45" t="s">
        <v>731</v>
      </c>
      <c r="H15" s="45" t="s">
        <v>754</v>
      </c>
      <c r="I15" s="45" t="s">
        <v>755</v>
      </c>
      <c r="J15" s="45" t="s">
        <v>765</v>
      </c>
      <c r="K15" s="45" t="s">
        <v>766</v>
      </c>
    </row>
    <row r="16" customFormat="false" ht="105" hidden="false" customHeight="false" outlineLevel="0" collapsed="false">
      <c r="A16" s="45" t="s">
        <v>767</v>
      </c>
      <c r="D16" s="45" t="s">
        <v>728</v>
      </c>
      <c r="E16" s="45" t="s">
        <v>729</v>
      </c>
      <c r="F16" s="45" t="s">
        <v>730</v>
      </c>
      <c r="G16" s="45" t="s">
        <v>731</v>
      </c>
      <c r="H16" s="45" t="s">
        <v>754</v>
      </c>
      <c r="I16" s="45" t="s">
        <v>755</v>
      </c>
      <c r="J16" s="45" t="s">
        <v>768</v>
      </c>
      <c r="K16" s="45" t="s">
        <v>766</v>
      </c>
    </row>
    <row r="17" customFormat="false" ht="75" hidden="false" customHeight="false" outlineLevel="0" collapsed="false">
      <c r="A17" s="45" t="s">
        <v>769</v>
      </c>
      <c r="D17" s="45" t="s">
        <v>728</v>
      </c>
      <c r="E17" s="45" t="s">
        <v>729</v>
      </c>
      <c r="F17" s="45" t="s">
        <v>730</v>
      </c>
      <c r="G17" s="45" t="s">
        <v>731</v>
      </c>
      <c r="H17" s="45" t="s">
        <v>754</v>
      </c>
      <c r="I17" s="45" t="s">
        <v>755</v>
      </c>
      <c r="J17" s="45" t="s">
        <v>770</v>
      </c>
      <c r="K17" s="45" t="s">
        <v>771</v>
      </c>
    </row>
    <row r="18" customFormat="false" ht="75" hidden="false" customHeight="false" outlineLevel="0" collapsed="false">
      <c r="A18" s="45" t="s">
        <v>772</v>
      </c>
      <c r="D18" s="45" t="s">
        <v>728</v>
      </c>
      <c r="E18" s="45" t="s">
        <v>729</v>
      </c>
      <c r="F18" s="45" t="s">
        <v>730</v>
      </c>
      <c r="G18" s="45" t="s">
        <v>731</v>
      </c>
      <c r="H18" s="45" t="s">
        <v>754</v>
      </c>
      <c r="I18" s="45" t="s">
        <v>755</v>
      </c>
      <c r="J18" s="45" t="s">
        <v>773</v>
      </c>
      <c r="K18" s="45" t="s">
        <v>771</v>
      </c>
    </row>
    <row r="19" customFormat="false" ht="90" hidden="false" customHeight="false" outlineLevel="0" collapsed="false">
      <c r="A19" s="45" t="s">
        <v>774</v>
      </c>
      <c r="C19" s="112"/>
      <c r="D19" s="45" t="s">
        <v>728</v>
      </c>
      <c r="E19" s="45" t="s">
        <v>729</v>
      </c>
      <c r="F19" s="45" t="s">
        <v>730</v>
      </c>
      <c r="G19" s="45" t="s">
        <v>731</v>
      </c>
      <c r="H19" s="45" t="s">
        <v>570</v>
      </c>
      <c r="I19" s="45" t="s">
        <v>775</v>
      </c>
      <c r="J19" s="45" t="s">
        <v>776</v>
      </c>
      <c r="K19" s="45" t="s">
        <v>777</v>
      </c>
    </row>
    <row r="20" customFormat="false" ht="90" hidden="false" customHeight="false" outlineLevel="0" collapsed="false">
      <c r="A20" s="45" t="s">
        <v>778</v>
      </c>
      <c r="C20" s="112"/>
      <c r="D20" s="45" t="s">
        <v>728</v>
      </c>
      <c r="E20" s="45" t="s">
        <v>729</v>
      </c>
      <c r="F20" s="45" t="s">
        <v>730</v>
      </c>
      <c r="G20" s="45" t="s">
        <v>731</v>
      </c>
      <c r="H20" s="45" t="s">
        <v>570</v>
      </c>
      <c r="I20" s="45" t="s">
        <v>775</v>
      </c>
      <c r="J20" s="45" t="s">
        <v>779</v>
      </c>
      <c r="K20" s="45" t="s">
        <v>777</v>
      </c>
    </row>
    <row r="21" customFormat="false" ht="90" hidden="false" customHeight="false" outlineLevel="0" collapsed="false">
      <c r="A21" s="45" t="s">
        <v>780</v>
      </c>
      <c r="D21" s="45" t="s">
        <v>728</v>
      </c>
      <c r="E21" s="45" t="s">
        <v>729</v>
      </c>
      <c r="F21" s="45" t="s">
        <v>730</v>
      </c>
      <c r="G21" s="45" t="s">
        <v>731</v>
      </c>
      <c r="H21" s="45" t="s">
        <v>57</v>
      </c>
      <c r="I21" s="45" t="s">
        <v>58</v>
      </c>
      <c r="J21" s="45" t="s">
        <v>781</v>
      </c>
      <c r="K21" s="45" t="s">
        <v>782</v>
      </c>
    </row>
    <row r="22" customFormat="false" ht="90" hidden="false" customHeight="false" outlineLevel="0" collapsed="false">
      <c r="A22" s="45" t="s">
        <v>783</v>
      </c>
      <c r="D22" s="45" t="s">
        <v>728</v>
      </c>
      <c r="E22" s="45" t="s">
        <v>729</v>
      </c>
      <c r="F22" s="45" t="s">
        <v>730</v>
      </c>
      <c r="G22" s="45" t="s">
        <v>731</v>
      </c>
      <c r="H22" s="45" t="s">
        <v>57</v>
      </c>
      <c r="I22" s="45" t="s">
        <v>58</v>
      </c>
      <c r="J22" s="45" t="s">
        <v>784</v>
      </c>
      <c r="K22" s="45" t="s">
        <v>782</v>
      </c>
    </row>
    <row r="23" customFormat="false" ht="75" hidden="false" customHeight="false" outlineLevel="0" collapsed="false">
      <c r="A23" s="45" t="s">
        <v>785</v>
      </c>
      <c r="D23" s="45" t="s">
        <v>728</v>
      </c>
      <c r="E23" s="45" t="s">
        <v>729</v>
      </c>
      <c r="F23" s="45" t="s">
        <v>730</v>
      </c>
      <c r="G23" s="45" t="s">
        <v>731</v>
      </c>
      <c r="H23" s="45" t="s">
        <v>57</v>
      </c>
      <c r="I23" s="45" t="s">
        <v>58</v>
      </c>
      <c r="J23" s="45" t="s">
        <v>786</v>
      </c>
      <c r="K23" s="45" t="s">
        <v>787</v>
      </c>
    </row>
    <row r="24" customFormat="false" ht="75" hidden="false" customHeight="false" outlineLevel="0" collapsed="false">
      <c r="A24" s="45" t="s">
        <v>788</v>
      </c>
      <c r="D24" s="45" t="s">
        <v>728</v>
      </c>
      <c r="E24" s="45" t="s">
        <v>729</v>
      </c>
      <c r="F24" s="45" t="s">
        <v>730</v>
      </c>
      <c r="G24" s="45" t="s">
        <v>731</v>
      </c>
      <c r="H24" s="45" t="s">
        <v>57</v>
      </c>
      <c r="I24" s="45" t="s">
        <v>58</v>
      </c>
      <c r="J24" s="45" t="s">
        <v>789</v>
      </c>
      <c r="K24" s="45" t="s">
        <v>787</v>
      </c>
    </row>
    <row r="25" customFormat="false" ht="105" hidden="false" customHeight="false" outlineLevel="0" collapsed="false">
      <c r="A25" s="45" t="s">
        <v>790</v>
      </c>
      <c r="D25" s="45" t="s">
        <v>728</v>
      </c>
      <c r="E25" s="45" t="s">
        <v>729</v>
      </c>
      <c r="F25" s="45" t="s">
        <v>730</v>
      </c>
      <c r="G25" s="45" t="s">
        <v>731</v>
      </c>
      <c r="H25" s="45" t="s">
        <v>110</v>
      </c>
      <c r="I25" s="45" t="s">
        <v>111</v>
      </c>
      <c r="J25" s="45" t="s">
        <v>791</v>
      </c>
      <c r="K25" s="45" t="s">
        <v>792</v>
      </c>
    </row>
    <row r="26" customFormat="false" ht="75" hidden="false" customHeight="false" outlineLevel="0" collapsed="false">
      <c r="A26" s="45" t="s">
        <v>793</v>
      </c>
      <c r="D26" s="45" t="s">
        <v>728</v>
      </c>
      <c r="E26" s="45" t="s">
        <v>729</v>
      </c>
      <c r="F26" s="45" t="s">
        <v>730</v>
      </c>
      <c r="G26" s="45" t="s">
        <v>731</v>
      </c>
      <c r="H26" s="45" t="s">
        <v>110</v>
      </c>
      <c r="I26" s="45" t="s">
        <v>111</v>
      </c>
      <c r="J26" s="45" t="s">
        <v>794</v>
      </c>
      <c r="K26" s="45" t="s">
        <v>795</v>
      </c>
    </row>
    <row r="27" customFormat="false" ht="75" hidden="false" customHeight="false" outlineLevel="0" collapsed="false">
      <c r="A27" s="45" t="s">
        <v>796</v>
      </c>
      <c r="D27" s="45" t="s">
        <v>728</v>
      </c>
      <c r="E27" s="45" t="s">
        <v>729</v>
      </c>
      <c r="F27" s="45" t="s">
        <v>730</v>
      </c>
      <c r="G27" s="45" t="s">
        <v>731</v>
      </c>
      <c r="H27" s="45" t="s">
        <v>110</v>
      </c>
      <c r="I27" s="45" t="s">
        <v>111</v>
      </c>
      <c r="J27" s="45" t="s">
        <v>797</v>
      </c>
      <c r="K27" s="45" t="s">
        <v>795</v>
      </c>
    </row>
    <row r="28" customFormat="false" ht="90" hidden="false" customHeight="false" outlineLevel="0" collapsed="false">
      <c r="A28" s="45" t="s">
        <v>798</v>
      </c>
      <c r="D28" s="45" t="s">
        <v>728</v>
      </c>
      <c r="E28" s="45" t="s">
        <v>729</v>
      </c>
      <c r="F28" s="45" t="s">
        <v>730</v>
      </c>
      <c r="G28" s="45" t="s">
        <v>731</v>
      </c>
      <c r="H28" s="45" t="s">
        <v>110</v>
      </c>
      <c r="I28" s="45" t="s">
        <v>111</v>
      </c>
      <c r="J28" s="45" t="s">
        <v>799</v>
      </c>
      <c r="K28" s="45" t="s">
        <v>800</v>
      </c>
    </row>
    <row r="29" customFormat="false" ht="90" hidden="false" customHeight="false" outlineLevel="0" collapsed="false">
      <c r="A29" s="45" t="s">
        <v>801</v>
      </c>
      <c r="D29" s="45" t="s">
        <v>728</v>
      </c>
      <c r="E29" s="45" t="s">
        <v>729</v>
      </c>
      <c r="F29" s="45" t="s">
        <v>730</v>
      </c>
      <c r="G29" s="45" t="s">
        <v>731</v>
      </c>
      <c r="H29" s="45" t="s">
        <v>110</v>
      </c>
      <c r="I29" s="45" t="s">
        <v>111</v>
      </c>
      <c r="J29" s="45" t="s">
        <v>802</v>
      </c>
      <c r="K29" s="45" t="s">
        <v>800</v>
      </c>
    </row>
    <row r="30" customFormat="false" ht="75" hidden="false" customHeight="false" outlineLevel="0" collapsed="false">
      <c r="A30" s="45" t="s">
        <v>803</v>
      </c>
      <c r="D30" s="45" t="s">
        <v>728</v>
      </c>
      <c r="E30" s="45" t="s">
        <v>729</v>
      </c>
      <c r="F30" s="45" t="s">
        <v>730</v>
      </c>
      <c r="G30" s="45" t="s">
        <v>731</v>
      </c>
      <c r="H30" s="45" t="s">
        <v>804</v>
      </c>
      <c r="I30" s="45" t="s">
        <v>805</v>
      </c>
      <c r="J30" s="45" t="s">
        <v>806</v>
      </c>
      <c r="K30" s="45" t="s">
        <v>807</v>
      </c>
    </row>
    <row r="31" customFormat="false" ht="75" hidden="false" customHeight="false" outlineLevel="0" collapsed="false">
      <c r="A31" s="45" t="s">
        <v>808</v>
      </c>
      <c r="D31" s="45" t="s">
        <v>728</v>
      </c>
      <c r="E31" s="45" t="s">
        <v>729</v>
      </c>
      <c r="F31" s="45" t="s">
        <v>730</v>
      </c>
      <c r="G31" s="45" t="s">
        <v>731</v>
      </c>
      <c r="H31" s="45" t="s">
        <v>809</v>
      </c>
      <c r="I31" s="45" t="s">
        <v>810</v>
      </c>
      <c r="J31" s="45" t="s">
        <v>811</v>
      </c>
      <c r="K31" s="45" t="s">
        <v>812</v>
      </c>
    </row>
    <row r="32" customFormat="false" ht="75" hidden="false" customHeight="false" outlineLevel="0" collapsed="false">
      <c r="A32" s="45" t="s">
        <v>813</v>
      </c>
      <c r="D32" s="45" t="s">
        <v>728</v>
      </c>
      <c r="E32" s="45" t="s">
        <v>729</v>
      </c>
      <c r="F32" s="45" t="s">
        <v>730</v>
      </c>
      <c r="G32" s="45" t="s">
        <v>731</v>
      </c>
      <c r="H32" s="45" t="s">
        <v>809</v>
      </c>
      <c r="I32" s="45" t="s">
        <v>810</v>
      </c>
      <c r="J32" s="45" t="s">
        <v>814</v>
      </c>
      <c r="K32" s="45" t="s">
        <v>812</v>
      </c>
    </row>
    <row r="33" s="49" customFormat="true" ht="75" hidden="false" customHeight="false" outlineLevel="0" collapsed="false">
      <c r="A33" s="113" t="s">
        <v>815</v>
      </c>
      <c r="B33" s="113"/>
      <c r="C33" s="113"/>
      <c r="D33" s="113" t="s">
        <v>728</v>
      </c>
      <c r="E33" s="113" t="s">
        <v>729</v>
      </c>
      <c r="F33" s="113" t="s">
        <v>730</v>
      </c>
      <c r="G33" s="113" t="s">
        <v>731</v>
      </c>
      <c r="H33" s="113" t="s">
        <v>809</v>
      </c>
      <c r="I33" s="113" t="s">
        <v>810</v>
      </c>
      <c r="J33" s="113" t="s">
        <v>816</v>
      </c>
      <c r="K33" s="113" t="s">
        <v>812</v>
      </c>
    </row>
    <row r="34" customFormat="false" ht="75" hidden="false" customHeight="false" outlineLevel="0" collapsed="false">
      <c r="A34" s="45" t="s">
        <v>817</v>
      </c>
      <c r="D34" s="45" t="s">
        <v>728</v>
      </c>
      <c r="E34" s="45" t="s">
        <v>729</v>
      </c>
      <c r="F34" s="45" t="s">
        <v>730</v>
      </c>
      <c r="G34" s="45" t="s">
        <v>731</v>
      </c>
      <c r="H34" s="45" t="s">
        <v>809</v>
      </c>
      <c r="I34" s="45" t="s">
        <v>810</v>
      </c>
      <c r="J34" s="45" t="s">
        <v>818</v>
      </c>
      <c r="K34" s="45" t="s">
        <v>812</v>
      </c>
    </row>
    <row r="35" customFormat="false" ht="75" hidden="false" customHeight="false" outlineLevel="0" collapsed="false">
      <c r="A35" s="45" t="s">
        <v>819</v>
      </c>
      <c r="D35" s="45" t="s">
        <v>728</v>
      </c>
      <c r="E35" s="45" t="s">
        <v>729</v>
      </c>
      <c r="F35" s="45" t="s">
        <v>730</v>
      </c>
      <c r="G35" s="45" t="s">
        <v>731</v>
      </c>
      <c r="H35" s="45" t="s">
        <v>69</v>
      </c>
      <c r="I35" s="45" t="s">
        <v>70</v>
      </c>
      <c r="J35" s="45" t="s">
        <v>820</v>
      </c>
      <c r="K35" s="45" t="s">
        <v>821</v>
      </c>
    </row>
    <row r="36" customFormat="false" ht="75" hidden="false" customHeight="false" outlineLevel="0" collapsed="false">
      <c r="A36" s="45" t="s">
        <v>822</v>
      </c>
      <c r="D36" s="45" t="s">
        <v>728</v>
      </c>
      <c r="E36" s="45" t="s">
        <v>729</v>
      </c>
      <c r="F36" s="45" t="s">
        <v>730</v>
      </c>
      <c r="G36" s="45" t="s">
        <v>731</v>
      </c>
      <c r="H36" s="45" t="s">
        <v>69</v>
      </c>
      <c r="I36" s="45" t="s">
        <v>70</v>
      </c>
      <c r="J36" s="45" t="s">
        <v>823</v>
      </c>
      <c r="K36" s="45" t="s">
        <v>824</v>
      </c>
    </row>
    <row r="37" customFormat="false" ht="75" hidden="false" customHeight="false" outlineLevel="0" collapsed="false">
      <c r="A37" s="45" t="s">
        <v>825</v>
      </c>
      <c r="D37" s="45" t="s">
        <v>728</v>
      </c>
      <c r="E37" s="45" t="s">
        <v>729</v>
      </c>
      <c r="F37" s="45" t="s">
        <v>730</v>
      </c>
      <c r="G37" s="45" t="s">
        <v>731</v>
      </c>
      <c r="H37" s="45" t="s">
        <v>69</v>
      </c>
      <c r="I37" s="45" t="s">
        <v>70</v>
      </c>
      <c r="J37" s="45" t="s">
        <v>826</v>
      </c>
      <c r="K37" s="45" t="s">
        <v>824</v>
      </c>
    </row>
    <row r="38" customFormat="false" ht="75" hidden="false" customHeight="false" outlineLevel="0" collapsed="false">
      <c r="A38" s="45" t="s">
        <v>827</v>
      </c>
      <c r="D38" s="45" t="s">
        <v>728</v>
      </c>
      <c r="E38" s="45" t="s">
        <v>729</v>
      </c>
      <c r="F38" s="45" t="s">
        <v>730</v>
      </c>
      <c r="G38" s="45" t="s">
        <v>731</v>
      </c>
      <c r="H38" s="45" t="s">
        <v>69</v>
      </c>
      <c r="I38" s="45" t="s">
        <v>70</v>
      </c>
      <c r="J38" s="45" t="s">
        <v>828</v>
      </c>
      <c r="K38" s="45" t="s">
        <v>824</v>
      </c>
    </row>
    <row r="39" customFormat="false" ht="75" hidden="false" customHeight="false" outlineLevel="0" collapsed="false">
      <c r="A39" s="45" t="s">
        <v>829</v>
      </c>
      <c r="D39" s="45" t="s">
        <v>728</v>
      </c>
      <c r="E39" s="45" t="s">
        <v>729</v>
      </c>
      <c r="F39" s="45" t="s">
        <v>730</v>
      </c>
      <c r="G39" s="45" t="s">
        <v>731</v>
      </c>
      <c r="H39" s="45" t="s">
        <v>69</v>
      </c>
      <c r="I39" s="45" t="s">
        <v>70</v>
      </c>
      <c r="J39" s="45" t="s">
        <v>830</v>
      </c>
      <c r="K39" s="45" t="s">
        <v>824</v>
      </c>
    </row>
    <row r="40" customFormat="false" ht="75" hidden="false" customHeight="false" outlineLevel="0" collapsed="false">
      <c r="A40" s="45" t="s">
        <v>831</v>
      </c>
      <c r="D40" s="45" t="s">
        <v>728</v>
      </c>
      <c r="E40" s="45" t="s">
        <v>729</v>
      </c>
      <c r="F40" s="45" t="s">
        <v>730</v>
      </c>
      <c r="G40" s="45" t="s">
        <v>731</v>
      </c>
      <c r="H40" s="45" t="s">
        <v>69</v>
      </c>
      <c r="I40" s="45" t="s">
        <v>70</v>
      </c>
      <c r="J40" s="45" t="s">
        <v>832</v>
      </c>
      <c r="K40" s="45" t="s">
        <v>824</v>
      </c>
    </row>
    <row r="41" customFormat="false" ht="105" hidden="false" customHeight="false" outlineLevel="0" collapsed="false">
      <c r="A41" s="45" t="s">
        <v>833</v>
      </c>
      <c r="D41" s="45" t="s">
        <v>728</v>
      </c>
      <c r="E41" s="45" t="s">
        <v>729</v>
      </c>
      <c r="F41" s="45" t="s">
        <v>730</v>
      </c>
      <c r="G41" s="45" t="s">
        <v>731</v>
      </c>
      <c r="H41" s="45" t="s">
        <v>79</v>
      </c>
      <c r="I41" s="45" t="s">
        <v>80</v>
      </c>
      <c r="J41" s="45" t="s">
        <v>834</v>
      </c>
      <c r="K41" s="45" t="s">
        <v>766</v>
      </c>
    </row>
    <row r="42" customFormat="false" ht="105" hidden="false" customHeight="false" outlineLevel="0" collapsed="false">
      <c r="A42" s="45" t="s">
        <v>835</v>
      </c>
      <c r="D42" s="45" t="s">
        <v>728</v>
      </c>
      <c r="E42" s="45" t="s">
        <v>729</v>
      </c>
      <c r="F42" s="45" t="s">
        <v>730</v>
      </c>
      <c r="G42" s="45" t="s">
        <v>731</v>
      </c>
      <c r="H42" s="45" t="s">
        <v>79</v>
      </c>
      <c r="I42" s="45" t="s">
        <v>80</v>
      </c>
      <c r="J42" s="45" t="s">
        <v>836</v>
      </c>
      <c r="K42" s="45" t="s">
        <v>766</v>
      </c>
    </row>
    <row r="43" customFormat="false" ht="90" hidden="false" customHeight="false" outlineLevel="0" collapsed="false">
      <c r="A43" s="45" t="s">
        <v>837</v>
      </c>
      <c r="D43" s="45" t="s">
        <v>728</v>
      </c>
      <c r="E43" s="45" t="s">
        <v>729</v>
      </c>
      <c r="F43" s="45" t="s">
        <v>730</v>
      </c>
      <c r="G43" s="45" t="s">
        <v>731</v>
      </c>
      <c r="H43" s="45" t="s">
        <v>79</v>
      </c>
      <c r="I43" s="45" t="s">
        <v>80</v>
      </c>
      <c r="J43" s="45" t="s">
        <v>838</v>
      </c>
      <c r="K43" s="45" t="s">
        <v>800</v>
      </c>
    </row>
    <row r="44" customFormat="false" ht="75" hidden="false" customHeight="false" outlineLevel="0" collapsed="false">
      <c r="A44" s="45" t="s">
        <v>839</v>
      </c>
      <c r="D44" s="45" t="s">
        <v>728</v>
      </c>
      <c r="E44" s="45" t="s">
        <v>729</v>
      </c>
      <c r="F44" s="45" t="s">
        <v>730</v>
      </c>
      <c r="G44" s="45" t="s">
        <v>731</v>
      </c>
      <c r="H44" s="45" t="s">
        <v>840</v>
      </c>
      <c r="I44" s="45" t="s">
        <v>841</v>
      </c>
      <c r="J44" s="45" t="s">
        <v>842</v>
      </c>
      <c r="K44" s="45" t="s">
        <v>843</v>
      </c>
    </row>
    <row r="45" customFormat="false" ht="75" hidden="false" customHeight="false" outlineLevel="0" collapsed="false">
      <c r="A45" s="45" t="s">
        <v>844</v>
      </c>
      <c r="D45" s="45" t="s">
        <v>728</v>
      </c>
      <c r="E45" s="45" t="s">
        <v>729</v>
      </c>
      <c r="F45" s="45" t="s">
        <v>730</v>
      </c>
      <c r="G45" s="45" t="s">
        <v>731</v>
      </c>
      <c r="H45" s="45" t="s">
        <v>840</v>
      </c>
      <c r="I45" s="45" t="s">
        <v>841</v>
      </c>
      <c r="J45" s="45" t="s">
        <v>845</v>
      </c>
      <c r="K45" s="45" t="s">
        <v>843</v>
      </c>
    </row>
    <row r="46" customFormat="false" ht="75" hidden="false" customHeight="false" outlineLevel="0" collapsed="false">
      <c r="A46" s="45" t="s">
        <v>846</v>
      </c>
      <c r="D46" s="45" t="s">
        <v>728</v>
      </c>
      <c r="E46" s="45" t="s">
        <v>729</v>
      </c>
      <c r="F46" s="45" t="s">
        <v>730</v>
      </c>
      <c r="G46" s="45" t="s">
        <v>731</v>
      </c>
      <c r="H46" s="45" t="s">
        <v>840</v>
      </c>
      <c r="I46" s="45" t="s">
        <v>841</v>
      </c>
      <c r="J46" s="45" t="s">
        <v>847</v>
      </c>
      <c r="K46" s="45" t="s">
        <v>843</v>
      </c>
    </row>
    <row r="47" customFormat="false" ht="90" hidden="false" customHeight="false" outlineLevel="0" collapsed="false">
      <c r="A47" s="45" t="s">
        <v>848</v>
      </c>
      <c r="D47" s="45" t="s">
        <v>728</v>
      </c>
      <c r="E47" s="45" t="s">
        <v>729</v>
      </c>
      <c r="F47" s="45" t="s">
        <v>730</v>
      </c>
      <c r="G47" s="45" t="s">
        <v>731</v>
      </c>
      <c r="H47" s="45" t="s">
        <v>118</v>
      </c>
      <c r="I47" s="45" t="s">
        <v>119</v>
      </c>
      <c r="J47" s="45" t="s">
        <v>849</v>
      </c>
      <c r="K47" s="45" t="s">
        <v>850</v>
      </c>
    </row>
    <row r="48" customFormat="false" ht="90" hidden="false" customHeight="false" outlineLevel="0" collapsed="false">
      <c r="A48" s="45" t="s">
        <v>851</v>
      </c>
      <c r="D48" s="45" t="s">
        <v>728</v>
      </c>
      <c r="E48" s="45" t="s">
        <v>729</v>
      </c>
      <c r="F48" s="45" t="s">
        <v>730</v>
      </c>
      <c r="G48" s="45" t="s">
        <v>731</v>
      </c>
      <c r="H48" s="45" t="s">
        <v>118</v>
      </c>
      <c r="I48" s="45" t="s">
        <v>119</v>
      </c>
      <c r="J48" s="45" t="s">
        <v>852</v>
      </c>
      <c r="K48" s="45" t="s">
        <v>850</v>
      </c>
    </row>
    <row r="49" s="46" customFormat="true" ht="75" hidden="false" customHeight="false" outlineLevel="0" collapsed="false">
      <c r="A49" s="45" t="s">
        <v>853</v>
      </c>
      <c r="D49" s="45" t="s">
        <v>728</v>
      </c>
      <c r="E49" s="45" t="s">
        <v>729</v>
      </c>
      <c r="F49" s="45" t="s">
        <v>730</v>
      </c>
      <c r="G49" s="45" t="s">
        <v>731</v>
      </c>
      <c r="H49" s="45" t="s">
        <v>854</v>
      </c>
      <c r="I49" s="45" t="s">
        <v>855</v>
      </c>
      <c r="J49" s="45" t="s">
        <v>856</v>
      </c>
      <c r="K49" s="107" t="s">
        <v>857</v>
      </c>
    </row>
    <row r="50" s="46" customFormat="true" ht="75" hidden="false" customHeight="false" outlineLevel="0" collapsed="false">
      <c r="A50" s="45" t="s">
        <v>858</v>
      </c>
      <c r="D50" s="45" t="s">
        <v>728</v>
      </c>
      <c r="E50" s="45" t="s">
        <v>729</v>
      </c>
      <c r="F50" s="45" t="s">
        <v>730</v>
      </c>
      <c r="G50" s="45" t="s">
        <v>731</v>
      </c>
      <c r="H50" s="45" t="s">
        <v>547</v>
      </c>
      <c r="I50" s="45" t="s">
        <v>859</v>
      </c>
      <c r="J50" s="45" t="s">
        <v>860</v>
      </c>
      <c r="K50" s="107" t="s">
        <v>861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0" activeCellId="0" sqref="A50"/>
    </sheetView>
  </sheetViews>
  <sheetFormatPr defaultColWidth="9.1484375" defaultRowHeight="15" zeroHeight="false" outlineLevelRow="0" outlineLevelCol="0"/>
  <cols>
    <col collapsed="false" customWidth="true" hidden="false" outlineLevel="0" max="1" min="1" style="45" width="19.86"/>
    <col collapsed="false" customWidth="true" hidden="false" outlineLevel="0" max="2" min="2" style="45" width="21.57"/>
    <col collapsed="false" customWidth="true" hidden="false" outlineLevel="0" max="3" min="3" style="45" width="21.71"/>
    <col collapsed="false" customWidth="true" hidden="false" outlineLevel="0" max="4" min="4" style="45" width="40.43"/>
    <col collapsed="false" customWidth="true" hidden="false" outlineLevel="0" max="5" min="5" style="45" width="12.86"/>
    <col collapsed="false" customWidth="true" hidden="false" outlineLevel="0" max="6" min="6" style="45" width="40.43"/>
    <col collapsed="false" customWidth="true" hidden="false" outlineLevel="0" max="7" min="7" style="45" width="12.86"/>
    <col collapsed="false" customWidth="true" hidden="false" outlineLevel="0" max="8" min="8" style="45" width="40.14"/>
    <col collapsed="false" customWidth="true" hidden="false" outlineLevel="0" max="9" min="9" style="45" width="12.86"/>
    <col collapsed="false" customWidth="true" hidden="false" outlineLevel="0" max="10" min="10" style="45" width="19.86"/>
    <col collapsed="false" customWidth="true" hidden="false" outlineLevel="0" max="11" min="11" style="46" width="20.14"/>
    <col collapsed="false" customWidth="false" hidden="false" outlineLevel="0" max="16384" min="12" style="46" width="9.14"/>
  </cols>
  <sheetData>
    <row r="1" customFormat="false" ht="45.75" hidden="false" customHeight="false" outlineLevel="0" collapsed="false">
      <c r="A1" s="45" t="s">
        <v>15</v>
      </c>
      <c r="B1" s="45" t="s">
        <v>25</v>
      </c>
      <c r="C1" s="45" t="s">
        <v>26</v>
      </c>
      <c r="D1" s="45" t="s">
        <v>8</v>
      </c>
      <c r="E1" s="45" t="s">
        <v>27</v>
      </c>
      <c r="F1" s="45" t="s">
        <v>28</v>
      </c>
      <c r="G1" s="45" t="s">
        <v>27</v>
      </c>
      <c r="H1" s="45" t="s">
        <v>29</v>
      </c>
      <c r="I1" s="45" t="s">
        <v>27</v>
      </c>
      <c r="J1" s="45" t="s">
        <v>30</v>
      </c>
    </row>
    <row r="2" customFormat="false" ht="75" hidden="false" customHeight="false" outlineLevel="0" collapsed="false">
      <c r="A2" s="114" t="s">
        <v>862</v>
      </c>
      <c r="B2" s="115" t="s">
        <v>616</v>
      </c>
      <c r="C2" s="115"/>
      <c r="D2" s="115" t="s">
        <v>863</v>
      </c>
      <c r="E2" s="115" t="s">
        <v>864</v>
      </c>
      <c r="F2" s="115" t="s">
        <v>865</v>
      </c>
      <c r="G2" s="115" t="s">
        <v>866</v>
      </c>
      <c r="H2" s="115" t="s">
        <v>867</v>
      </c>
      <c r="I2" s="115" t="s">
        <v>133</v>
      </c>
      <c r="J2" s="115" t="s">
        <v>144</v>
      </c>
      <c r="K2" s="116" t="s">
        <v>734</v>
      </c>
    </row>
    <row r="3" customFormat="false" ht="75.75" hidden="false" customHeight="false" outlineLevel="0" collapsed="false">
      <c r="A3" s="117" t="s">
        <v>868</v>
      </c>
      <c r="B3" s="118" t="s">
        <v>616</v>
      </c>
      <c r="C3" s="118"/>
      <c r="D3" s="118" t="s">
        <v>863</v>
      </c>
      <c r="E3" s="118" t="s">
        <v>864</v>
      </c>
      <c r="F3" s="118" t="s">
        <v>865</v>
      </c>
      <c r="G3" s="118" t="s">
        <v>866</v>
      </c>
      <c r="H3" s="118" t="s">
        <v>867</v>
      </c>
      <c r="I3" s="118" t="s">
        <v>133</v>
      </c>
      <c r="J3" s="118" t="s">
        <v>146</v>
      </c>
      <c r="K3" s="119" t="s">
        <v>734</v>
      </c>
    </row>
    <row r="4" customFormat="false" ht="60" hidden="false" customHeight="false" outlineLevel="0" collapsed="false">
      <c r="A4" s="114" t="s">
        <v>869</v>
      </c>
      <c r="B4" s="115" t="s">
        <v>622</v>
      </c>
      <c r="C4" s="115"/>
      <c r="D4" s="115" t="s">
        <v>870</v>
      </c>
      <c r="E4" s="115" t="s">
        <v>736</v>
      </c>
      <c r="F4" s="115" t="s">
        <v>871</v>
      </c>
      <c r="G4" s="115" t="s">
        <v>872</v>
      </c>
      <c r="H4" s="115" t="s">
        <v>873</v>
      </c>
      <c r="I4" s="115" t="s">
        <v>874</v>
      </c>
      <c r="J4" s="115" t="s">
        <v>155</v>
      </c>
      <c r="K4" s="116" t="s">
        <v>738</v>
      </c>
    </row>
    <row r="5" customFormat="false" ht="60.75" hidden="false" customHeight="false" outlineLevel="0" collapsed="false">
      <c r="A5" s="117" t="s">
        <v>875</v>
      </c>
      <c r="B5" s="118" t="s">
        <v>622</v>
      </c>
      <c r="C5" s="118"/>
      <c r="D5" s="118" t="s">
        <v>870</v>
      </c>
      <c r="E5" s="118" t="s">
        <v>736</v>
      </c>
      <c r="F5" s="118" t="s">
        <v>871</v>
      </c>
      <c r="G5" s="118" t="s">
        <v>872</v>
      </c>
      <c r="H5" s="118" t="s">
        <v>873</v>
      </c>
      <c r="I5" s="118" t="s">
        <v>874</v>
      </c>
      <c r="J5" s="118" t="s">
        <v>157</v>
      </c>
      <c r="K5" s="119" t="s">
        <v>738</v>
      </c>
    </row>
    <row r="6" customFormat="false" ht="60" hidden="false" customHeight="false" outlineLevel="0" collapsed="false">
      <c r="A6" s="114" t="s">
        <v>876</v>
      </c>
      <c r="B6" s="115" t="s">
        <v>624</v>
      </c>
      <c r="C6" s="115"/>
      <c r="D6" s="115" t="s">
        <v>562</v>
      </c>
      <c r="E6" s="115" t="s">
        <v>877</v>
      </c>
      <c r="F6" s="115" t="s">
        <v>878</v>
      </c>
      <c r="G6" s="115" t="s">
        <v>879</v>
      </c>
      <c r="H6" s="115" t="s">
        <v>880</v>
      </c>
      <c r="I6" s="115" t="s">
        <v>881</v>
      </c>
      <c r="J6" s="115" t="s">
        <v>164</v>
      </c>
      <c r="K6" s="116" t="s">
        <v>745</v>
      </c>
    </row>
    <row r="7" customFormat="false" ht="60.75" hidden="false" customHeight="false" outlineLevel="0" collapsed="false">
      <c r="A7" s="117" t="s">
        <v>882</v>
      </c>
      <c r="B7" s="118" t="s">
        <v>624</v>
      </c>
      <c r="C7" s="118"/>
      <c r="D7" s="118" t="s">
        <v>562</v>
      </c>
      <c r="E7" s="118" t="s">
        <v>877</v>
      </c>
      <c r="F7" s="118" t="s">
        <v>878</v>
      </c>
      <c r="G7" s="118" t="s">
        <v>879</v>
      </c>
      <c r="H7" s="118" t="s">
        <v>880</v>
      </c>
      <c r="I7" s="118" t="s">
        <v>881</v>
      </c>
      <c r="J7" s="118" t="s">
        <v>166</v>
      </c>
      <c r="K7" s="119" t="s">
        <v>745</v>
      </c>
    </row>
    <row r="8" customFormat="false" ht="75" hidden="false" customHeight="false" outlineLevel="0" collapsed="false">
      <c r="A8" s="114" t="s">
        <v>883</v>
      </c>
      <c r="B8" s="115" t="s">
        <v>629</v>
      </c>
      <c r="C8" s="115"/>
      <c r="D8" s="115" t="s">
        <v>884</v>
      </c>
      <c r="E8" s="115" t="s">
        <v>885</v>
      </c>
      <c r="F8" s="115" t="s">
        <v>886</v>
      </c>
      <c r="G8" s="115" t="s">
        <v>887</v>
      </c>
      <c r="H8" s="115" t="s">
        <v>888</v>
      </c>
      <c r="I8" s="115" t="s">
        <v>889</v>
      </c>
      <c r="J8" s="115" t="s">
        <v>184</v>
      </c>
      <c r="K8" s="116" t="s">
        <v>756</v>
      </c>
    </row>
    <row r="9" customFormat="false" ht="75" hidden="false" customHeight="false" outlineLevel="0" collapsed="false">
      <c r="A9" s="120" t="s">
        <v>890</v>
      </c>
      <c r="B9" s="45" t="s">
        <v>629</v>
      </c>
      <c r="D9" s="45" t="s">
        <v>884</v>
      </c>
      <c r="E9" s="45" t="s">
        <v>885</v>
      </c>
      <c r="F9" s="45" t="s">
        <v>886</v>
      </c>
      <c r="G9" s="45" t="s">
        <v>887</v>
      </c>
      <c r="H9" s="45" t="s">
        <v>888</v>
      </c>
      <c r="I9" s="45" t="s">
        <v>889</v>
      </c>
      <c r="J9" s="45" t="s">
        <v>891</v>
      </c>
      <c r="K9" s="121" t="s">
        <v>756</v>
      </c>
    </row>
    <row r="10" customFormat="false" ht="75" hidden="false" customHeight="false" outlineLevel="0" collapsed="false">
      <c r="A10" s="120" t="s">
        <v>892</v>
      </c>
      <c r="B10" s="45" t="s">
        <v>629</v>
      </c>
      <c r="D10" s="45" t="s">
        <v>884</v>
      </c>
      <c r="E10" s="45" t="s">
        <v>885</v>
      </c>
      <c r="F10" s="45" t="s">
        <v>886</v>
      </c>
      <c r="G10" s="45" t="s">
        <v>887</v>
      </c>
      <c r="H10" s="45" t="s">
        <v>888</v>
      </c>
      <c r="I10" s="45" t="s">
        <v>889</v>
      </c>
      <c r="J10" s="45" t="s">
        <v>186</v>
      </c>
      <c r="K10" s="121" t="s">
        <v>756</v>
      </c>
    </row>
    <row r="11" s="125" customFormat="true" ht="75.75" hidden="false" customHeight="false" outlineLevel="0" collapsed="false">
      <c r="A11" s="122" t="s">
        <v>893</v>
      </c>
      <c r="B11" s="118" t="s">
        <v>629</v>
      </c>
      <c r="C11" s="123"/>
      <c r="D11" s="118" t="s">
        <v>884</v>
      </c>
      <c r="E11" s="118" t="s">
        <v>885</v>
      </c>
      <c r="F11" s="118" t="s">
        <v>886</v>
      </c>
      <c r="G11" s="118" t="s">
        <v>887</v>
      </c>
      <c r="H11" s="118" t="s">
        <v>888</v>
      </c>
      <c r="I11" s="118" t="s">
        <v>889</v>
      </c>
      <c r="J11" s="123" t="s">
        <v>201</v>
      </c>
      <c r="K11" s="124" t="s">
        <v>756</v>
      </c>
    </row>
    <row r="12" customFormat="false" ht="105" hidden="false" customHeight="false" outlineLevel="0" collapsed="false">
      <c r="A12" s="114" t="s">
        <v>894</v>
      </c>
      <c r="B12" s="115" t="s">
        <v>74</v>
      </c>
      <c r="C12" s="115"/>
      <c r="D12" s="115" t="s">
        <v>895</v>
      </c>
      <c r="E12" s="115" t="s">
        <v>76</v>
      </c>
      <c r="F12" s="115" t="s">
        <v>896</v>
      </c>
      <c r="G12" s="115" t="s">
        <v>78</v>
      </c>
      <c r="H12" s="115" t="s">
        <v>79</v>
      </c>
      <c r="I12" s="115" t="s">
        <v>80</v>
      </c>
      <c r="J12" s="115" t="s">
        <v>193</v>
      </c>
      <c r="K12" s="116" t="s">
        <v>766</v>
      </c>
    </row>
    <row r="13" customFormat="false" ht="105" hidden="false" customHeight="false" outlineLevel="0" collapsed="false">
      <c r="A13" s="120" t="s">
        <v>897</v>
      </c>
      <c r="B13" s="45" t="s">
        <v>74</v>
      </c>
      <c r="D13" s="45" t="s">
        <v>895</v>
      </c>
      <c r="E13" s="45" t="s">
        <v>76</v>
      </c>
      <c r="F13" s="45" t="s">
        <v>896</v>
      </c>
      <c r="G13" s="45" t="s">
        <v>78</v>
      </c>
      <c r="H13" s="45" t="s">
        <v>79</v>
      </c>
      <c r="I13" s="45" t="s">
        <v>80</v>
      </c>
      <c r="J13" s="45" t="s">
        <v>195</v>
      </c>
      <c r="K13" s="121" t="s">
        <v>766</v>
      </c>
    </row>
    <row r="14" s="125" customFormat="true" ht="105" hidden="false" customHeight="false" outlineLevel="0" collapsed="false">
      <c r="A14" s="126" t="s">
        <v>898</v>
      </c>
      <c r="B14" s="45" t="s">
        <v>74</v>
      </c>
      <c r="C14" s="127"/>
      <c r="D14" s="45" t="s">
        <v>895</v>
      </c>
      <c r="E14" s="45" t="s">
        <v>76</v>
      </c>
      <c r="F14" s="45" t="s">
        <v>896</v>
      </c>
      <c r="G14" s="45" t="s">
        <v>78</v>
      </c>
      <c r="H14" s="45" t="s">
        <v>79</v>
      </c>
      <c r="I14" s="45" t="s">
        <v>80</v>
      </c>
      <c r="J14" s="127" t="s">
        <v>206</v>
      </c>
      <c r="K14" s="128" t="s">
        <v>766</v>
      </c>
    </row>
    <row r="15" s="125" customFormat="true" ht="105" hidden="false" customHeight="false" outlineLevel="0" collapsed="false">
      <c r="A15" s="126" t="s">
        <v>899</v>
      </c>
      <c r="B15" s="45" t="s">
        <v>74</v>
      </c>
      <c r="C15" s="127"/>
      <c r="D15" s="45" t="s">
        <v>895</v>
      </c>
      <c r="E15" s="45" t="s">
        <v>76</v>
      </c>
      <c r="F15" s="45" t="s">
        <v>896</v>
      </c>
      <c r="G15" s="45" t="s">
        <v>78</v>
      </c>
      <c r="H15" s="45" t="s">
        <v>79</v>
      </c>
      <c r="I15" s="45" t="s">
        <v>80</v>
      </c>
      <c r="J15" s="127" t="s">
        <v>900</v>
      </c>
      <c r="K15" s="128" t="s">
        <v>766</v>
      </c>
    </row>
    <row r="16" s="125" customFormat="true" ht="105.75" hidden="false" customHeight="false" outlineLevel="0" collapsed="false">
      <c r="A16" s="122" t="s">
        <v>901</v>
      </c>
      <c r="B16" s="118" t="s">
        <v>74</v>
      </c>
      <c r="C16" s="123"/>
      <c r="D16" s="118" t="s">
        <v>895</v>
      </c>
      <c r="E16" s="118" t="s">
        <v>76</v>
      </c>
      <c r="F16" s="118" t="s">
        <v>896</v>
      </c>
      <c r="G16" s="118" t="s">
        <v>78</v>
      </c>
      <c r="H16" s="118" t="s">
        <v>79</v>
      </c>
      <c r="I16" s="118" t="s">
        <v>80</v>
      </c>
      <c r="J16" s="123" t="s">
        <v>326</v>
      </c>
      <c r="K16" s="124" t="s">
        <v>766</v>
      </c>
    </row>
    <row r="17" customFormat="false" ht="105" hidden="false" customHeight="false" outlineLevel="0" collapsed="false">
      <c r="A17" s="114" t="s">
        <v>902</v>
      </c>
      <c r="B17" s="115" t="s">
        <v>635</v>
      </c>
      <c r="C17" s="115"/>
      <c r="D17" s="115" t="s">
        <v>903</v>
      </c>
      <c r="E17" s="115" t="s">
        <v>904</v>
      </c>
      <c r="F17" s="115" t="s">
        <v>609</v>
      </c>
      <c r="G17" s="115" t="s">
        <v>905</v>
      </c>
      <c r="H17" s="115" t="s">
        <v>906</v>
      </c>
      <c r="I17" s="115" t="s">
        <v>68</v>
      </c>
      <c r="J17" s="115" t="s">
        <v>203</v>
      </c>
      <c r="K17" s="116" t="s">
        <v>907</v>
      </c>
    </row>
    <row r="18" s="125" customFormat="true" ht="105.75" hidden="false" customHeight="false" outlineLevel="0" collapsed="false">
      <c r="A18" s="122" t="s">
        <v>893</v>
      </c>
      <c r="B18" s="118" t="s">
        <v>635</v>
      </c>
      <c r="C18" s="123"/>
      <c r="D18" s="118" t="s">
        <v>903</v>
      </c>
      <c r="E18" s="118" t="s">
        <v>904</v>
      </c>
      <c r="F18" s="118" t="s">
        <v>609</v>
      </c>
      <c r="G18" s="118" t="s">
        <v>905</v>
      </c>
      <c r="H18" s="118" t="s">
        <v>906</v>
      </c>
      <c r="I18" s="118" t="s">
        <v>68</v>
      </c>
      <c r="J18" s="123" t="s">
        <v>201</v>
      </c>
      <c r="K18" s="124" t="s">
        <v>907</v>
      </c>
    </row>
    <row r="19" customFormat="false" ht="75" hidden="false" customHeight="false" outlineLevel="0" collapsed="false">
      <c r="A19" s="114" t="s">
        <v>908</v>
      </c>
      <c r="B19" s="115" t="s">
        <v>637</v>
      </c>
      <c r="C19" s="115"/>
      <c r="D19" s="115" t="s">
        <v>45</v>
      </c>
      <c r="E19" s="115" t="s">
        <v>46</v>
      </c>
      <c r="F19" s="115" t="s">
        <v>909</v>
      </c>
      <c r="G19" s="115" t="s">
        <v>885</v>
      </c>
      <c r="H19" s="115" t="s">
        <v>47</v>
      </c>
      <c r="I19" s="115" t="s">
        <v>48</v>
      </c>
      <c r="J19" s="115" t="s">
        <v>212</v>
      </c>
      <c r="K19" s="116" t="s">
        <v>771</v>
      </c>
    </row>
    <row r="20" customFormat="false" ht="75" hidden="false" customHeight="false" outlineLevel="0" collapsed="false">
      <c r="A20" s="120" t="s">
        <v>910</v>
      </c>
      <c r="B20" s="45" t="s">
        <v>637</v>
      </c>
      <c r="D20" s="45" t="s">
        <v>45</v>
      </c>
      <c r="E20" s="45" t="s">
        <v>46</v>
      </c>
      <c r="F20" s="45" t="s">
        <v>909</v>
      </c>
      <c r="G20" s="45" t="s">
        <v>885</v>
      </c>
      <c r="H20" s="45" t="s">
        <v>47</v>
      </c>
      <c r="I20" s="45" t="s">
        <v>48</v>
      </c>
      <c r="J20" s="45" t="s">
        <v>214</v>
      </c>
      <c r="K20" s="121" t="s">
        <v>771</v>
      </c>
    </row>
    <row r="21" s="125" customFormat="true" ht="75.75" hidden="false" customHeight="false" outlineLevel="0" collapsed="false">
      <c r="A21" s="122" t="s">
        <v>911</v>
      </c>
      <c r="B21" s="123" t="s">
        <v>637</v>
      </c>
      <c r="C21" s="123"/>
      <c r="D21" s="118" t="s">
        <v>45</v>
      </c>
      <c r="E21" s="118" t="s">
        <v>46</v>
      </c>
      <c r="F21" s="118" t="s">
        <v>909</v>
      </c>
      <c r="G21" s="118" t="s">
        <v>885</v>
      </c>
      <c r="H21" s="118" t="s">
        <v>47</v>
      </c>
      <c r="I21" s="118" t="s">
        <v>48</v>
      </c>
      <c r="J21" s="123" t="s">
        <v>260</v>
      </c>
      <c r="K21" s="124" t="s">
        <v>771</v>
      </c>
    </row>
    <row r="22" customFormat="false" ht="90.75" hidden="false" customHeight="false" outlineLevel="0" collapsed="false">
      <c r="A22" s="129" t="s">
        <v>912</v>
      </c>
      <c r="B22" s="130" t="s">
        <v>54</v>
      </c>
      <c r="C22" s="130"/>
      <c r="D22" s="130" t="s">
        <v>913</v>
      </c>
      <c r="E22" s="130" t="s">
        <v>56</v>
      </c>
      <c r="F22" s="130" t="s">
        <v>914</v>
      </c>
      <c r="G22" s="130" t="s">
        <v>58</v>
      </c>
      <c r="H22" s="130" t="s">
        <v>915</v>
      </c>
      <c r="I22" s="130" t="s">
        <v>916</v>
      </c>
      <c r="J22" s="130" t="s">
        <v>231</v>
      </c>
      <c r="K22" s="131" t="s">
        <v>782</v>
      </c>
    </row>
    <row r="23" customFormat="false" ht="105" hidden="false" customHeight="false" outlineLevel="0" collapsed="false">
      <c r="A23" s="114" t="s">
        <v>917</v>
      </c>
      <c r="B23" s="115" t="s">
        <v>650</v>
      </c>
      <c r="C23" s="115"/>
      <c r="D23" s="115" t="s">
        <v>918</v>
      </c>
      <c r="E23" s="115" t="s">
        <v>107</v>
      </c>
      <c r="F23" s="115" t="s">
        <v>919</v>
      </c>
      <c r="G23" s="115" t="s">
        <v>109</v>
      </c>
      <c r="H23" s="115" t="s">
        <v>110</v>
      </c>
      <c r="I23" s="115" t="s">
        <v>111</v>
      </c>
      <c r="J23" s="115" t="s">
        <v>246</v>
      </c>
      <c r="K23" s="116" t="s">
        <v>792</v>
      </c>
    </row>
    <row r="24" customFormat="false" ht="105.75" hidden="false" customHeight="false" outlineLevel="0" collapsed="false">
      <c r="A24" s="117" t="s">
        <v>920</v>
      </c>
      <c r="B24" s="118" t="s">
        <v>650</v>
      </c>
      <c r="C24" s="118"/>
      <c r="D24" s="118" t="s">
        <v>918</v>
      </c>
      <c r="E24" s="118" t="s">
        <v>107</v>
      </c>
      <c r="F24" s="118" t="s">
        <v>919</v>
      </c>
      <c r="G24" s="118" t="s">
        <v>109</v>
      </c>
      <c r="H24" s="118" t="s">
        <v>110</v>
      </c>
      <c r="I24" s="118" t="s">
        <v>111</v>
      </c>
      <c r="J24" s="118" t="s">
        <v>248</v>
      </c>
      <c r="K24" s="119" t="s">
        <v>792</v>
      </c>
    </row>
    <row r="25" customFormat="false" ht="75" hidden="false" customHeight="false" outlineLevel="0" collapsed="false">
      <c r="A25" s="114" t="s">
        <v>921</v>
      </c>
      <c r="B25" s="115" t="s">
        <v>653</v>
      </c>
      <c r="C25" s="115"/>
      <c r="D25" s="115" t="s">
        <v>922</v>
      </c>
      <c r="E25" s="115" t="s">
        <v>96</v>
      </c>
      <c r="F25" s="115" t="s">
        <v>923</v>
      </c>
      <c r="G25" s="115" t="s">
        <v>98</v>
      </c>
      <c r="H25" s="115" t="s">
        <v>924</v>
      </c>
      <c r="I25" s="115" t="s">
        <v>100</v>
      </c>
      <c r="J25" s="115" t="s">
        <v>258</v>
      </c>
      <c r="K25" s="116" t="s">
        <v>795</v>
      </c>
    </row>
    <row r="26" customFormat="false" ht="75.75" hidden="false" customHeight="false" outlineLevel="0" collapsed="false">
      <c r="A26" s="117" t="s">
        <v>911</v>
      </c>
      <c r="B26" s="118" t="s">
        <v>653</v>
      </c>
      <c r="C26" s="118"/>
      <c r="D26" s="118" t="s">
        <v>922</v>
      </c>
      <c r="E26" s="118" t="s">
        <v>96</v>
      </c>
      <c r="F26" s="118" t="s">
        <v>923</v>
      </c>
      <c r="G26" s="118" t="s">
        <v>98</v>
      </c>
      <c r="H26" s="118" t="s">
        <v>924</v>
      </c>
      <c r="I26" s="118" t="s">
        <v>100</v>
      </c>
      <c r="J26" s="118" t="s">
        <v>260</v>
      </c>
      <c r="K26" s="119" t="s">
        <v>795</v>
      </c>
    </row>
    <row r="27" customFormat="false" ht="90" hidden="false" customHeight="false" outlineLevel="0" collapsed="false">
      <c r="A27" s="114" t="s">
        <v>925</v>
      </c>
      <c r="B27" s="115"/>
      <c r="C27" s="115"/>
      <c r="D27" s="115" t="s">
        <v>926</v>
      </c>
      <c r="E27" s="115" t="s">
        <v>927</v>
      </c>
      <c r="F27" s="115" t="s">
        <v>585</v>
      </c>
      <c r="G27" s="115" t="s">
        <v>928</v>
      </c>
      <c r="H27" s="115" t="s">
        <v>586</v>
      </c>
      <c r="I27" s="115" t="s">
        <v>929</v>
      </c>
      <c r="J27" s="115" t="s">
        <v>930</v>
      </c>
      <c r="K27" s="116" t="s">
        <v>800</v>
      </c>
    </row>
    <row r="28" customFormat="false" ht="90" hidden="false" customHeight="false" outlineLevel="0" collapsed="false">
      <c r="A28" s="120" t="s">
        <v>931</v>
      </c>
      <c r="D28" s="45" t="s">
        <v>926</v>
      </c>
      <c r="E28" s="45" t="s">
        <v>927</v>
      </c>
      <c r="F28" s="45" t="s">
        <v>585</v>
      </c>
      <c r="G28" s="45" t="s">
        <v>928</v>
      </c>
      <c r="H28" s="45" t="s">
        <v>586</v>
      </c>
      <c r="I28" s="45" t="s">
        <v>929</v>
      </c>
      <c r="J28" s="45" t="s">
        <v>932</v>
      </c>
      <c r="K28" s="121" t="s">
        <v>800</v>
      </c>
    </row>
    <row r="29" customFormat="false" ht="90.75" hidden="false" customHeight="false" outlineLevel="0" collapsed="false">
      <c r="A29" s="117" t="s">
        <v>933</v>
      </c>
      <c r="B29" s="118"/>
      <c r="C29" s="118"/>
      <c r="D29" s="118" t="s">
        <v>926</v>
      </c>
      <c r="E29" s="118" t="s">
        <v>927</v>
      </c>
      <c r="F29" s="118" t="s">
        <v>585</v>
      </c>
      <c r="G29" s="118" t="s">
        <v>928</v>
      </c>
      <c r="H29" s="118" t="s">
        <v>586</v>
      </c>
      <c r="I29" s="118" t="s">
        <v>929</v>
      </c>
      <c r="J29" s="118" t="s">
        <v>934</v>
      </c>
      <c r="K29" s="119" t="s">
        <v>800</v>
      </c>
    </row>
    <row r="30" customFormat="false" ht="75.75" hidden="false" customHeight="false" outlineLevel="0" collapsed="false">
      <c r="A30" s="129" t="s">
        <v>935</v>
      </c>
      <c r="B30" s="130" t="s">
        <v>659</v>
      </c>
      <c r="C30" s="130"/>
      <c r="D30" s="130" t="s">
        <v>936</v>
      </c>
      <c r="E30" s="130" t="s">
        <v>937</v>
      </c>
      <c r="F30" s="130" t="s">
        <v>938</v>
      </c>
      <c r="G30" s="130" t="s">
        <v>805</v>
      </c>
      <c r="H30" s="130" t="s">
        <v>939</v>
      </c>
      <c r="I30" s="130" t="s">
        <v>940</v>
      </c>
      <c r="J30" s="130" t="s">
        <v>270</v>
      </c>
      <c r="K30" s="131" t="s">
        <v>807</v>
      </c>
    </row>
    <row r="31" customFormat="false" ht="75" hidden="false" customHeight="false" outlineLevel="0" collapsed="false">
      <c r="A31" s="114" t="s">
        <v>941</v>
      </c>
      <c r="B31" s="115" t="s">
        <v>661</v>
      </c>
      <c r="C31" s="115"/>
      <c r="D31" s="115" t="s">
        <v>942</v>
      </c>
      <c r="E31" s="115" t="s">
        <v>139</v>
      </c>
      <c r="F31" s="115" t="s">
        <v>943</v>
      </c>
      <c r="G31" s="115" t="s">
        <v>944</v>
      </c>
      <c r="H31" s="115" t="s">
        <v>945</v>
      </c>
      <c r="I31" s="115" t="s">
        <v>946</v>
      </c>
      <c r="J31" s="115" t="s">
        <v>280</v>
      </c>
      <c r="K31" s="116" t="s">
        <v>812</v>
      </c>
    </row>
    <row r="32" customFormat="false" ht="75" hidden="false" customHeight="false" outlineLevel="0" collapsed="false">
      <c r="A32" s="120" t="s">
        <v>947</v>
      </c>
      <c r="B32" s="45" t="s">
        <v>661</v>
      </c>
      <c r="D32" s="45" t="s">
        <v>942</v>
      </c>
      <c r="E32" s="45" t="s">
        <v>139</v>
      </c>
      <c r="F32" s="45" t="s">
        <v>943</v>
      </c>
      <c r="G32" s="45" t="s">
        <v>944</v>
      </c>
      <c r="H32" s="45" t="s">
        <v>945</v>
      </c>
      <c r="I32" s="45" t="s">
        <v>946</v>
      </c>
      <c r="J32" s="45" t="s">
        <v>282</v>
      </c>
      <c r="K32" s="121" t="s">
        <v>812</v>
      </c>
    </row>
    <row r="33" customFormat="false" ht="75" hidden="false" customHeight="false" outlineLevel="0" collapsed="false">
      <c r="A33" s="120" t="s">
        <v>948</v>
      </c>
      <c r="B33" s="45" t="s">
        <v>661</v>
      </c>
      <c r="D33" s="45" t="s">
        <v>942</v>
      </c>
      <c r="E33" s="45" t="s">
        <v>139</v>
      </c>
      <c r="F33" s="45" t="s">
        <v>943</v>
      </c>
      <c r="G33" s="45" t="s">
        <v>944</v>
      </c>
      <c r="H33" s="45" t="s">
        <v>945</v>
      </c>
      <c r="I33" s="45" t="s">
        <v>946</v>
      </c>
      <c r="J33" s="45" t="s">
        <v>283</v>
      </c>
      <c r="K33" s="121" t="s">
        <v>812</v>
      </c>
    </row>
    <row r="34" customFormat="false" ht="75.75" hidden="false" customHeight="false" outlineLevel="0" collapsed="false">
      <c r="A34" s="117" t="s">
        <v>949</v>
      </c>
      <c r="B34" s="118" t="s">
        <v>661</v>
      </c>
      <c r="C34" s="118"/>
      <c r="D34" s="118" t="s">
        <v>942</v>
      </c>
      <c r="E34" s="118" t="s">
        <v>139</v>
      </c>
      <c r="F34" s="118" t="s">
        <v>943</v>
      </c>
      <c r="G34" s="118" t="s">
        <v>944</v>
      </c>
      <c r="H34" s="118" t="s">
        <v>945</v>
      </c>
      <c r="I34" s="118" t="s">
        <v>946</v>
      </c>
      <c r="J34" s="118" t="s">
        <v>284</v>
      </c>
      <c r="K34" s="119" t="s">
        <v>812</v>
      </c>
    </row>
    <row r="35" customFormat="false" ht="90" hidden="false" customHeight="false" outlineLevel="0" collapsed="false">
      <c r="A35" s="114" t="s">
        <v>950</v>
      </c>
      <c r="B35" s="115" t="s">
        <v>127</v>
      </c>
      <c r="C35" s="115"/>
      <c r="D35" s="115" t="s">
        <v>951</v>
      </c>
      <c r="E35" s="115" t="s">
        <v>129</v>
      </c>
      <c r="F35" s="115" t="s">
        <v>952</v>
      </c>
      <c r="G35" s="115" t="s">
        <v>131</v>
      </c>
      <c r="H35" s="115" t="s">
        <v>732</v>
      </c>
      <c r="I35" s="115" t="s">
        <v>133</v>
      </c>
      <c r="J35" s="115" t="s">
        <v>297</v>
      </c>
      <c r="K35" s="116" t="s">
        <v>821</v>
      </c>
    </row>
    <row r="36" customFormat="false" ht="90" hidden="false" customHeight="false" outlineLevel="0" collapsed="false">
      <c r="A36" s="120" t="s">
        <v>953</v>
      </c>
      <c r="B36" s="45" t="s">
        <v>127</v>
      </c>
      <c r="D36" s="45" t="s">
        <v>951</v>
      </c>
      <c r="E36" s="45" t="s">
        <v>129</v>
      </c>
      <c r="F36" s="45" t="s">
        <v>952</v>
      </c>
      <c r="G36" s="45" t="s">
        <v>131</v>
      </c>
      <c r="H36" s="45" t="s">
        <v>732</v>
      </c>
      <c r="I36" s="45" t="s">
        <v>133</v>
      </c>
      <c r="J36" s="45" t="s">
        <v>299</v>
      </c>
      <c r="K36" s="121" t="s">
        <v>821</v>
      </c>
    </row>
    <row r="37" customFormat="false" ht="90.75" hidden="false" customHeight="false" outlineLevel="0" collapsed="false">
      <c r="A37" s="117" t="s">
        <v>954</v>
      </c>
      <c r="B37" s="118" t="s">
        <v>127</v>
      </c>
      <c r="C37" s="118"/>
      <c r="D37" s="118" t="s">
        <v>951</v>
      </c>
      <c r="E37" s="118" t="s">
        <v>129</v>
      </c>
      <c r="F37" s="118" t="s">
        <v>952</v>
      </c>
      <c r="G37" s="118" t="s">
        <v>131</v>
      </c>
      <c r="H37" s="118" t="s">
        <v>732</v>
      </c>
      <c r="I37" s="118" t="s">
        <v>133</v>
      </c>
      <c r="J37" s="118" t="s">
        <v>300</v>
      </c>
      <c r="K37" s="119" t="s">
        <v>821</v>
      </c>
    </row>
    <row r="38" customFormat="false" ht="75" hidden="false" customHeight="false" outlineLevel="0" collapsed="false">
      <c r="A38" s="114" t="s">
        <v>955</v>
      </c>
      <c r="B38" s="115" t="s">
        <v>666</v>
      </c>
      <c r="C38" s="115"/>
      <c r="D38" s="115" t="s">
        <v>956</v>
      </c>
      <c r="E38" s="115" t="s">
        <v>66</v>
      </c>
      <c r="F38" s="115" t="s">
        <v>957</v>
      </c>
      <c r="G38" s="115" t="s">
        <v>68</v>
      </c>
      <c r="H38" s="115" t="s">
        <v>69</v>
      </c>
      <c r="I38" s="115" t="s">
        <v>70</v>
      </c>
      <c r="J38" s="115" t="s">
        <v>308</v>
      </c>
      <c r="K38" s="116" t="s">
        <v>824</v>
      </c>
    </row>
    <row r="39" customFormat="false" ht="75" hidden="false" customHeight="false" outlineLevel="0" collapsed="false">
      <c r="A39" s="120" t="s">
        <v>958</v>
      </c>
      <c r="B39" s="45" t="s">
        <v>666</v>
      </c>
      <c r="D39" s="45" t="s">
        <v>956</v>
      </c>
      <c r="E39" s="45" t="s">
        <v>66</v>
      </c>
      <c r="F39" s="45" t="s">
        <v>957</v>
      </c>
      <c r="G39" s="45" t="s">
        <v>68</v>
      </c>
      <c r="H39" s="45" t="s">
        <v>69</v>
      </c>
      <c r="I39" s="45" t="s">
        <v>70</v>
      </c>
      <c r="J39" s="45" t="s">
        <v>310</v>
      </c>
      <c r="K39" s="121" t="s">
        <v>824</v>
      </c>
    </row>
    <row r="40" customFormat="false" ht="75" hidden="false" customHeight="false" outlineLevel="0" collapsed="false">
      <c r="A40" s="120" t="s">
        <v>959</v>
      </c>
      <c r="B40" s="45" t="s">
        <v>666</v>
      </c>
      <c r="D40" s="45" t="s">
        <v>956</v>
      </c>
      <c r="E40" s="45" t="s">
        <v>66</v>
      </c>
      <c r="F40" s="45" t="s">
        <v>957</v>
      </c>
      <c r="G40" s="45" t="s">
        <v>68</v>
      </c>
      <c r="H40" s="45" t="s">
        <v>69</v>
      </c>
      <c r="I40" s="45" t="s">
        <v>70</v>
      </c>
      <c r="J40" s="45" t="s">
        <v>311</v>
      </c>
      <c r="K40" s="121" t="s">
        <v>824</v>
      </c>
    </row>
    <row r="41" customFormat="false" ht="75.75" hidden="false" customHeight="false" outlineLevel="0" collapsed="false">
      <c r="A41" s="117" t="s">
        <v>960</v>
      </c>
      <c r="B41" s="118" t="s">
        <v>666</v>
      </c>
      <c r="C41" s="118"/>
      <c r="D41" s="118" t="s">
        <v>956</v>
      </c>
      <c r="E41" s="118" t="s">
        <v>66</v>
      </c>
      <c r="F41" s="118" t="s">
        <v>957</v>
      </c>
      <c r="G41" s="118" t="s">
        <v>68</v>
      </c>
      <c r="H41" s="118" t="s">
        <v>69</v>
      </c>
      <c r="I41" s="118" t="s">
        <v>70</v>
      </c>
      <c r="J41" s="118" t="s">
        <v>328</v>
      </c>
      <c r="K41" s="119" t="s">
        <v>824</v>
      </c>
    </row>
    <row r="42" customFormat="false" ht="60" hidden="false" customHeight="false" outlineLevel="0" collapsed="false">
      <c r="A42" s="114" t="s">
        <v>961</v>
      </c>
      <c r="B42" s="115" t="s">
        <v>137</v>
      </c>
      <c r="C42" s="115"/>
      <c r="D42" s="115" t="s">
        <v>942</v>
      </c>
      <c r="E42" s="115" t="s">
        <v>139</v>
      </c>
      <c r="F42" s="115" t="s">
        <v>962</v>
      </c>
      <c r="G42" s="115" t="s">
        <v>864</v>
      </c>
      <c r="H42" s="115" t="s">
        <v>963</v>
      </c>
      <c r="I42" s="115" t="s">
        <v>964</v>
      </c>
      <c r="J42" s="115" t="s">
        <v>338</v>
      </c>
      <c r="K42" s="116" t="s">
        <v>843</v>
      </c>
    </row>
    <row r="43" customFormat="false" ht="60" hidden="false" customHeight="false" outlineLevel="0" collapsed="false">
      <c r="A43" s="120" t="s">
        <v>965</v>
      </c>
      <c r="B43" s="45" t="s">
        <v>137</v>
      </c>
      <c r="D43" s="45" t="s">
        <v>942</v>
      </c>
      <c r="E43" s="45" t="s">
        <v>139</v>
      </c>
      <c r="F43" s="45" t="s">
        <v>962</v>
      </c>
      <c r="G43" s="45" t="s">
        <v>864</v>
      </c>
      <c r="H43" s="45" t="s">
        <v>963</v>
      </c>
      <c r="I43" s="45" t="s">
        <v>964</v>
      </c>
      <c r="J43" s="45" t="s">
        <v>340</v>
      </c>
      <c r="K43" s="121" t="s">
        <v>843</v>
      </c>
    </row>
    <row r="44" customFormat="false" ht="60" hidden="false" customHeight="false" outlineLevel="0" collapsed="false">
      <c r="A44" s="120" t="s">
        <v>966</v>
      </c>
      <c r="B44" s="45" t="s">
        <v>137</v>
      </c>
      <c r="D44" s="45" t="s">
        <v>942</v>
      </c>
      <c r="E44" s="45" t="s">
        <v>139</v>
      </c>
      <c r="F44" s="45" t="s">
        <v>962</v>
      </c>
      <c r="G44" s="45" t="s">
        <v>864</v>
      </c>
      <c r="H44" s="45" t="s">
        <v>963</v>
      </c>
      <c r="I44" s="45" t="s">
        <v>964</v>
      </c>
      <c r="J44" s="45" t="s">
        <v>341</v>
      </c>
      <c r="K44" s="121" t="s">
        <v>843</v>
      </c>
    </row>
    <row r="45" customFormat="false" ht="60" hidden="false" customHeight="false" outlineLevel="0" collapsed="false">
      <c r="A45" s="120" t="s">
        <v>967</v>
      </c>
      <c r="B45" s="45" t="s">
        <v>137</v>
      </c>
      <c r="D45" s="45" t="s">
        <v>942</v>
      </c>
      <c r="E45" s="45" t="s">
        <v>139</v>
      </c>
      <c r="F45" s="45" t="s">
        <v>962</v>
      </c>
      <c r="G45" s="45" t="s">
        <v>864</v>
      </c>
      <c r="H45" s="45" t="s">
        <v>963</v>
      </c>
      <c r="I45" s="45" t="s">
        <v>964</v>
      </c>
      <c r="J45" s="45" t="s">
        <v>147</v>
      </c>
      <c r="K45" s="121" t="s">
        <v>843</v>
      </c>
    </row>
    <row r="46" customFormat="false" ht="60.75" hidden="false" customHeight="false" outlineLevel="0" collapsed="false">
      <c r="A46" s="117" t="s">
        <v>968</v>
      </c>
      <c r="B46" s="118" t="s">
        <v>137</v>
      </c>
      <c r="C46" s="118"/>
      <c r="D46" s="118" t="s">
        <v>942</v>
      </c>
      <c r="E46" s="118" t="s">
        <v>139</v>
      </c>
      <c r="F46" s="118" t="s">
        <v>962</v>
      </c>
      <c r="G46" s="118" t="s">
        <v>864</v>
      </c>
      <c r="H46" s="118" t="s">
        <v>963</v>
      </c>
      <c r="I46" s="118" t="s">
        <v>964</v>
      </c>
      <c r="J46" s="118" t="s">
        <v>252</v>
      </c>
      <c r="K46" s="119" t="s">
        <v>843</v>
      </c>
    </row>
    <row r="47" customFormat="false" ht="75.75" hidden="false" customHeight="false" outlineLevel="0" collapsed="false">
      <c r="A47" s="129" t="s">
        <v>969</v>
      </c>
      <c r="B47" s="130" t="s">
        <v>675</v>
      </c>
      <c r="C47" s="130"/>
      <c r="D47" s="130" t="s">
        <v>970</v>
      </c>
      <c r="E47" s="130" t="s">
        <v>971</v>
      </c>
      <c r="F47" s="130" t="s">
        <v>972</v>
      </c>
      <c r="G47" s="130" t="s">
        <v>973</v>
      </c>
      <c r="H47" s="130" t="s">
        <v>974</v>
      </c>
      <c r="I47" s="130" t="s">
        <v>975</v>
      </c>
      <c r="J47" s="130" t="s">
        <v>363</v>
      </c>
      <c r="K47" s="131" t="s">
        <v>976</v>
      </c>
    </row>
    <row r="48" customFormat="false" ht="90.75" hidden="false" customHeight="false" outlineLevel="0" collapsed="false">
      <c r="A48" s="129" t="s">
        <v>977</v>
      </c>
      <c r="B48" s="130" t="s">
        <v>678</v>
      </c>
      <c r="C48" s="130"/>
      <c r="D48" s="130" t="s">
        <v>978</v>
      </c>
      <c r="E48" s="130" t="s">
        <v>979</v>
      </c>
      <c r="F48" s="130" t="s">
        <v>972</v>
      </c>
      <c r="G48" s="130" t="s">
        <v>973</v>
      </c>
      <c r="H48" s="130" t="s">
        <v>980</v>
      </c>
      <c r="I48" s="130" t="s">
        <v>981</v>
      </c>
      <c r="J48" s="130" t="s">
        <v>372</v>
      </c>
      <c r="K48" s="131" t="s">
        <v>982</v>
      </c>
    </row>
    <row r="49" customFormat="false" ht="60.75" hidden="false" customHeight="false" outlineLevel="0" collapsed="false">
      <c r="A49" s="129" t="s">
        <v>983</v>
      </c>
      <c r="B49" s="130" t="s">
        <v>684</v>
      </c>
      <c r="C49" s="130"/>
      <c r="D49" s="130" t="s">
        <v>984</v>
      </c>
      <c r="E49" s="130" t="s">
        <v>985</v>
      </c>
      <c r="F49" s="130" t="s">
        <v>986</v>
      </c>
      <c r="G49" s="130" t="s">
        <v>987</v>
      </c>
      <c r="H49" s="130" t="s">
        <v>988</v>
      </c>
      <c r="I49" s="130" t="s">
        <v>859</v>
      </c>
      <c r="J49" s="130" t="s">
        <v>384</v>
      </c>
      <c r="K49" s="131" t="s">
        <v>861</v>
      </c>
    </row>
    <row r="50" customFormat="false" ht="15" hidden="false" customHeight="false" outlineLevel="0" collapsed="false">
      <c r="K50" s="45"/>
    </row>
    <row r="51" customFormat="false" ht="15" hidden="false" customHeight="false" outlineLevel="0" collapsed="false">
      <c r="K51" s="45"/>
    </row>
    <row r="52" customFormat="false" ht="15" hidden="false" customHeight="false" outlineLevel="0" collapsed="false">
      <c r="K52" s="45"/>
    </row>
    <row r="53" customFormat="false" ht="15" hidden="false" customHeight="false" outlineLevel="0" collapsed="false">
      <c r="K53" s="45"/>
    </row>
    <row r="54" customFormat="false" ht="15" hidden="false" customHeight="false" outlineLevel="0" collapsed="false">
      <c r="K54" s="45"/>
    </row>
    <row r="55" customFormat="false" ht="15" hidden="false" customHeight="false" outlineLevel="0" collapsed="false">
      <c r="K55" s="45"/>
    </row>
    <row r="56" customFormat="false" ht="15" hidden="false" customHeight="false" outlineLevel="0" collapsed="false">
      <c r="K56" s="45"/>
    </row>
    <row r="57" customFormat="false" ht="15" hidden="false" customHeight="false" outlineLevel="0" collapsed="false">
      <c r="K57" s="45"/>
    </row>
    <row r="58" customFormat="false" ht="15" hidden="false" customHeight="false" outlineLevel="0" collapsed="false">
      <c r="K58" s="45"/>
    </row>
    <row r="59" customFormat="false" ht="15" hidden="false" customHeight="false" outlineLevel="0" collapsed="false">
      <c r="K59" s="45"/>
    </row>
    <row r="60" customFormat="false" ht="15" hidden="false" customHeight="false" outlineLevel="0" collapsed="false">
      <c r="K60" s="45"/>
    </row>
    <row r="61" customFormat="false" ht="15" hidden="false" customHeight="false" outlineLevel="0" collapsed="false">
      <c r="K61" s="45"/>
    </row>
    <row r="62" customFormat="false" ht="15" hidden="false" customHeight="false" outlineLevel="0" collapsed="false">
      <c r="K62" s="45"/>
    </row>
    <row r="63" customFormat="false" ht="15" hidden="false" customHeight="false" outlineLevel="0" collapsed="false">
      <c r="K63" s="45"/>
    </row>
    <row r="66" customFormat="false" ht="15" hidden="false" customHeight="false" outlineLevel="0" collapsed="false">
      <c r="K66" s="45"/>
    </row>
    <row r="67" customFormat="false" ht="15" hidden="false" customHeight="false" outlineLevel="0" collapsed="false">
      <c r="K67" s="45"/>
    </row>
    <row r="68" customFormat="false" ht="15" hidden="false" customHeight="false" outlineLevel="0" collapsed="false">
      <c r="K68" s="45"/>
    </row>
    <row r="69" customFormat="false" ht="15" hidden="false" customHeight="false" outlineLevel="0" collapsed="false">
      <c r="K69" s="45"/>
    </row>
    <row r="70" customFormat="false" ht="15" hidden="false" customHeight="false" outlineLevel="0" collapsed="false">
      <c r="K70" s="45"/>
    </row>
    <row r="72" customFormat="false" ht="15" hidden="false" customHeight="false" outlineLevel="0" collapsed="false">
      <c r="K72" s="45"/>
    </row>
    <row r="74" customFormat="false" ht="15" hidden="false" customHeight="false" outlineLevel="0" collapsed="false">
      <c r="K74" s="4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LibreOffice/7.5.3.2$Windows_X86_64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2020-02-04T07:33:05Z</dcterms:created>
  <dc:creator>о2</dc:creator>
  <dc:description/>
  <dc:language>ru-RU</dc:language>
  <cp:lastModifiedBy/>
  <cp:lastPrinted>2026-06-03T12:30:18Z</cp:lastPrinted>
  <dcterms:modified xsi:type="dcterms:W3CDTF">2026-07-05T20:53:12Z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