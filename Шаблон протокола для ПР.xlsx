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ЭтаКнига"/>
  <mc:AlternateContent xmlns:mc="http://schemas.openxmlformats.org/markup-compatibility/2006">
    <mc:Choice Requires="x15">
      <x15ac:absPath xmlns:x15ac="http://schemas.microsoft.com/office/spreadsheetml/2010/11/ac" url="C:\Users\Artlinden\Downloads\"/>
    </mc:Choice>
  </mc:AlternateContent>
  <xr:revisionPtr revIDLastSave="0" documentId="13_ncr:1_{683B335C-7D96-4061-8186-AA29ADB3A870}" xr6:coauthVersionLast="47" xr6:coauthVersionMax="47" xr10:uidLastSave="{00000000-0000-0000-0000-000000000000}"/>
  <bookViews>
    <workbookView xWindow="-28898" yWindow="-98" windowWidth="28996" windowHeight="15796" xr2:uid="{00000000-000D-0000-FFFF-FFFF00000000}"/>
  </bookViews>
  <sheets>
    <sheet name="Протокол" sheetId="1" r:id="rId1"/>
    <sheet name="БД" sheetId="17" r:id="rId2"/>
    <sheet name="Лист2" sheetId="19" state="hidden" r:id="rId3"/>
    <sheet name="БД приказы" sheetId="2" state="hidden" r:id="rId4"/>
    <sheet name="БД направление" sheetId="9" state="hidden" r:id="rId5"/>
    <sheet name="БД Таблица" sheetId="12" state="hidden" r:id="rId6"/>
    <sheet name="проф - дисц - спец" sheetId="10" state="hidden" r:id="rId7"/>
    <sheet name="ДМГ" sheetId="13" state="hidden" r:id="rId8"/>
    <sheet name="Комиссия по ИиФ" sheetId="14" state="hidden" r:id="rId9"/>
    <sheet name="Комиссия по ИнЯ" sheetId="15" state="hidden" r:id="rId10"/>
    <sheet name="Комиссия по специальности" sheetId="16" state="hidden" r:id="rId11"/>
    <sheet name="Лист5" sheetId="25" state="hidden" r:id="rId12"/>
    <sheet name="Лист6" sheetId="26" state="hidden" r:id="rId13"/>
  </sheets>
  <definedNames>
    <definedName name="_xlnm.Print_Area" localSheetId="0">Протокол!$A$1:$J$48</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 i="1" l="1"/>
  <c r="A12" i="1"/>
  <c r="A23" i="1" l="1"/>
  <c r="D26" i="1" l="1"/>
  <c r="I47" i="1" l="1"/>
  <c r="I45" i="1"/>
  <c r="I42" i="1"/>
  <c r="A19" i="1"/>
  <c r="A17" i="1"/>
  <c r="A14" i="1"/>
  <c r="T26" i="12" l="1"/>
  <c r="F3" i="12" l="1"/>
  <c r="F4" i="12"/>
  <c r="F36" i="12"/>
  <c r="F5" i="12"/>
  <c r="F6" i="12"/>
  <c r="F7" i="12"/>
  <c r="F8" i="12"/>
  <c r="F9" i="12"/>
  <c r="F10" i="12"/>
  <c r="F11" i="12"/>
  <c r="F12" i="12"/>
  <c r="F13" i="12"/>
  <c r="F14" i="12"/>
  <c r="F15" i="12"/>
  <c r="F37" i="12"/>
  <c r="F16" i="12"/>
  <c r="F17" i="12"/>
  <c r="F18" i="12"/>
  <c r="F19" i="12"/>
  <c r="F20" i="12"/>
  <c r="F21" i="12"/>
  <c r="F22" i="12"/>
  <c r="F23" i="12"/>
  <c r="F38" i="12"/>
  <c r="F24" i="12"/>
  <c r="F25" i="12"/>
  <c r="F26" i="12"/>
  <c r="F27" i="12"/>
  <c r="F28" i="12"/>
  <c r="F29" i="12"/>
  <c r="F30" i="12"/>
  <c r="F31" i="12"/>
  <c r="O3" i="12"/>
  <c r="O4" i="12"/>
  <c r="O36" i="12"/>
  <c r="O5" i="12"/>
  <c r="O6" i="12"/>
  <c r="O7" i="12"/>
  <c r="O8" i="12"/>
  <c r="O9" i="12"/>
  <c r="O10" i="12"/>
  <c r="O11" i="12"/>
  <c r="O12" i="12"/>
  <c r="O13" i="12"/>
  <c r="O14" i="12"/>
  <c r="O15" i="12"/>
  <c r="O37" i="12"/>
  <c r="O16" i="12"/>
  <c r="O17" i="12"/>
  <c r="O18" i="12"/>
  <c r="O19" i="12"/>
  <c r="O20" i="12"/>
  <c r="O21" i="12"/>
  <c r="O22" i="12"/>
  <c r="O23" i="12"/>
  <c r="O38" i="12"/>
  <c r="O24" i="12"/>
  <c r="O25" i="12"/>
  <c r="O26" i="12"/>
  <c r="O27" i="12"/>
  <c r="O28" i="12"/>
  <c r="O29" i="12"/>
  <c r="O30" i="12"/>
  <c r="O31" i="12"/>
  <c r="Y3" i="12"/>
  <c r="Y4" i="12"/>
  <c r="Y36" i="12"/>
  <c r="Y5" i="12"/>
  <c r="Y6" i="12"/>
  <c r="Y7" i="12"/>
  <c r="Y8" i="12"/>
  <c r="Y9" i="12"/>
  <c r="Y10" i="12"/>
  <c r="Y11" i="12"/>
  <c r="Y12" i="12"/>
  <c r="Y13" i="12"/>
  <c r="Y14" i="12"/>
  <c r="Y15" i="12"/>
  <c r="Y37" i="12"/>
  <c r="Y16" i="12"/>
  <c r="Y17" i="12"/>
  <c r="Y18" i="12"/>
  <c r="Y19" i="12"/>
  <c r="Y20" i="12"/>
  <c r="Y21" i="12"/>
  <c r="Y22" i="12"/>
  <c r="Y23" i="12"/>
  <c r="Y38" i="12"/>
  <c r="Y24" i="12"/>
  <c r="Y25" i="12"/>
  <c r="Y26" i="12"/>
  <c r="Y27" i="12"/>
  <c r="Y28" i="12"/>
  <c r="Y29" i="12"/>
  <c r="Y30" i="12"/>
  <c r="Y31" i="12"/>
  <c r="AC3" i="12"/>
  <c r="AC4" i="12"/>
  <c r="AC36" i="12"/>
  <c r="AC5" i="12"/>
  <c r="AC6" i="12"/>
  <c r="AC7" i="12"/>
  <c r="AC8" i="12"/>
  <c r="AC9" i="12"/>
  <c r="AC10" i="12"/>
  <c r="AC11" i="12"/>
  <c r="AC12" i="12"/>
  <c r="AC13" i="12"/>
  <c r="AC14" i="12"/>
  <c r="AC15" i="12"/>
  <c r="AC37" i="12"/>
  <c r="AC16" i="12"/>
  <c r="AC17" i="12"/>
  <c r="AC18" i="12"/>
  <c r="AC19" i="12"/>
  <c r="AC20" i="12"/>
  <c r="AC21" i="12"/>
  <c r="AC22" i="12"/>
  <c r="AC23" i="12"/>
  <c r="AC38" i="12"/>
  <c r="AC24" i="12"/>
  <c r="AC25" i="12"/>
  <c r="AC26" i="12"/>
  <c r="AC27" i="12"/>
  <c r="AC28" i="12"/>
  <c r="AC29" i="12"/>
  <c r="AC30" i="12"/>
  <c r="AC31" i="12"/>
  <c r="T3" i="12"/>
  <c r="T4" i="12"/>
  <c r="T36" i="12"/>
  <c r="T5" i="12"/>
  <c r="T6" i="12"/>
  <c r="T7" i="12"/>
  <c r="T8" i="12"/>
  <c r="T9" i="12"/>
  <c r="T10" i="12"/>
  <c r="T11" i="12"/>
  <c r="T12" i="12"/>
  <c r="T13" i="12"/>
  <c r="T14" i="12"/>
  <c r="T15" i="12"/>
  <c r="T37" i="12"/>
  <c r="T16" i="12"/>
  <c r="T17" i="12"/>
  <c r="T18" i="12"/>
  <c r="T19" i="12"/>
  <c r="T20" i="12"/>
  <c r="T21" i="12"/>
  <c r="T22" i="12"/>
  <c r="T23" i="12"/>
  <c r="T38" i="12"/>
  <c r="T24" i="12"/>
  <c r="T25" i="12"/>
  <c r="T27" i="12"/>
  <c r="T28" i="12"/>
  <c r="T29" i="12"/>
  <c r="T30" i="12"/>
  <c r="T31" i="12"/>
  <c r="J3" i="12"/>
  <c r="J4" i="12"/>
  <c r="J36" i="12"/>
  <c r="J5" i="12"/>
  <c r="J6" i="12"/>
  <c r="J7" i="12"/>
  <c r="J8" i="12"/>
  <c r="J9" i="12"/>
  <c r="J10" i="12"/>
  <c r="J11" i="12"/>
  <c r="J12" i="12"/>
  <c r="J13" i="12"/>
  <c r="J14" i="12"/>
  <c r="J15" i="12"/>
  <c r="J37" i="12"/>
  <c r="J16" i="12"/>
  <c r="J17" i="12"/>
  <c r="J18" i="12"/>
  <c r="J19" i="12"/>
  <c r="J20" i="12"/>
  <c r="J21" i="12"/>
  <c r="J22" i="12"/>
  <c r="J23" i="12"/>
  <c r="J38" i="12"/>
  <c r="J24" i="12"/>
  <c r="J25" i="12"/>
  <c r="J26" i="12"/>
  <c r="J27" i="12"/>
  <c r="J28" i="12"/>
  <c r="J29" i="12"/>
  <c r="J30" i="12"/>
  <c r="J31" i="12"/>
  <c r="Q3" i="2"/>
  <c r="Q4" i="2"/>
  <c r="Q33" i="2"/>
  <c r="Q5" i="2"/>
  <c r="Q6" i="2"/>
  <c r="Q7" i="2"/>
  <c r="Q8" i="2"/>
  <c r="Q9" i="2"/>
  <c r="Q10" i="2"/>
  <c r="Q11" i="2"/>
  <c r="Q12" i="2"/>
  <c r="Q13" i="2"/>
  <c r="Q14" i="2"/>
  <c r="Q15" i="2"/>
  <c r="Q34" i="2"/>
  <c r="Q16" i="2"/>
  <c r="Q17" i="2"/>
  <c r="Q18" i="2"/>
  <c r="Q19" i="2"/>
  <c r="Q35" i="2"/>
  <c r="Q20" i="2"/>
  <c r="Q21" i="2"/>
  <c r="Q22" i="2"/>
  <c r="Q36" i="2"/>
  <c r="Q23" i="2"/>
  <c r="Q37" i="2"/>
  <c r="Q24" i="2"/>
  <c r="Q25" i="2"/>
  <c r="Q26" i="2"/>
  <c r="Q38" i="2"/>
  <c r="Q27" i="2"/>
  <c r="Q28" i="2"/>
  <c r="I3" i="2"/>
  <c r="I4" i="2"/>
  <c r="I33" i="2"/>
  <c r="I5" i="2"/>
  <c r="I6" i="2"/>
  <c r="I7" i="2"/>
  <c r="I8" i="2"/>
  <c r="I9" i="2"/>
  <c r="I10" i="2"/>
  <c r="I11" i="2"/>
  <c r="I12" i="2"/>
  <c r="I13" i="2"/>
  <c r="I14" i="2"/>
  <c r="I15" i="2"/>
  <c r="I34" i="2"/>
  <c r="I16" i="2"/>
  <c r="I17" i="2"/>
  <c r="I18" i="2"/>
  <c r="I19" i="2"/>
  <c r="I35" i="2"/>
  <c r="I20" i="2"/>
  <c r="I21" i="2"/>
  <c r="I22" i="2"/>
  <c r="I36" i="2"/>
  <c r="I23" i="2"/>
  <c r="I37" i="2"/>
  <c r="I24" i="2"/>
  <c r="I25" i="2"/>
  <c r="I26" i="2"/>
  <c r="I38" i="2"/>
  <c r="I27" i="2"/>
  <c r="I28" i="2"/>
  <c r="Q2" i="2"/>
  <c r="AC2" i="12" l="1"/>
  <c r="H3" i="9"/>
  <c r="U3" i="12" s="1"/>
  <c r="H4" i="9"/>
  <c r="U4" i="12" s="1"/>
  <c r="H5" i="9"/>
  <c r="U36" i="12" s="1"/>
  <c r="H6" i="9"/>
  <c r="U5" i="12" s="1"/>
  <c r="H7" i="9"/>
  <c r="U6" i="12" s="1"/>
  <c r="H8" i="9"/>
  <c r="U7" i="12" s="1"/>
  <c r="H9" i="9"/>
  <c r="U8" i="12" s="1"/>
  <c r="H10" i="9"/>
  <c r="U9" i="12" s="1"/>
  <c r="H11" i="9"/>
  <c r="U10" i="12" s="1"/>
  <c r="H12" i="9"/>
  <c r="U11" i="12" s="1"/>
  <c r="H13" i="9"/>
  <c r="U12" i="12" s="1"/>
  <c r="H14" i="9"/>
  <c r="U13" i="12" s="1"/>
  <c r="H15" i="9"/>
  <c r="U14" i="12" s="1"/>
  <c r="H16" i="9"/>
  <c r="U15" i="12" s="1"/>
  <c r="H17" i="9"/>
  <c r="U37" i="12" s="1"/>
  <c r="H18" i="9"/>
  <c r="U16" i="12" s="1"/>
  <c r="H19" i="9"/>
  <c r="U17" i="12" s="1"/>
  <c r="H20" i="9"/>
  <c r="U18" i="12" s="1"/>
  <c r="H21" i="9"/>
  <c r="U19" i="12" s="1"/>
  <c r="H22" i="9"/>
  <c r="U20" i="12" s="1"/>
  <c r="H23" i="9"/>
  <c r="U21" i="12" s="1"/>
  <c r="H24" i="9"/>
  <c r="U22" i="12" s="1"/>
  <c r="H25" i="9"/>
  <c r="U23" i="12" s="1"/>
  <c r="H26" i="9"/>
  <c r="U38" i="12" s="1"/>
  <c r="H27" i="9"/>
  <c r="U24" i="12" s="1"/>
  <c r="H28" i="9"/>
  <c r="U25" i="12" s="1"/>
  <c r="H29" i="9"/>
  <c r="U26" i="12" s="1"/>
  <c r="H30" i="9"/>
  <c r="U27" i="12" s="1"/>
  <c r="H31" i="9"/>
  <c r="U28" i="12" s="1"/>
  <c r="H32" i="9"/>
  <c r="U29" i="12" s="1"/>
  <c r="H33" i="9"/>
  <c r="U30" i="12" s="1"/>
  <c r="H34" i="9"/>
  <c r="U31" i="12" s="1"/>
  <c r="H2" i="9"/>
  <c r="T2" i="12"/>
  <c r="J2" i="12"/>
  <c r="Y2" i="12"/>
  <c r="O2" i="12"/>
  <c r="F2" i="12"/>
  <c r="I2" i="2"/>
  <c r="U2" i="12" l="1"/>
  <c r="E3" i="10"/>
  <c r="G2" i="9" s="1"/>
  <c r="E4" i="10"/>
  <c r="E5" i="10"/>
  <c r="G3" i="9" s="1"/>
  <c r="E6" i="10"/>
  <c r="G5" i="9" s="1"/>
  <c r="E7" i="10"/>
  <c r="E8" i="10"/>
  <c r="G29" i="9" s="1"/>
  <c r="E9" i="10"/>
  <c r="E10" i="10"/>
  <c r="E11" i="10"/>
  <c r="G7" i="9" s="1"/>
  <c r="E12" i="10"/>
  <c r="E13" i="10"/>
  <c r="E14" i="10"/>
  <c r="E15" i="10"/>
  <c r="E16" i="10"/>
  <c r="G10" i="9" s="1"/>
  <c r="E17" i="10"/>
  <c r="G11" i="9" s="1"/>
  <c r="E18" i="10"/>
  <c r="G12" i="9" s="1"/>
  <c r="E19" i="10"/>
  <c r="E20" i="10"/>
  <c r="G14" i="9" s="1"/>
  <c r="E21" i="10"/>
  <c r="E22" i="10"/>
  <c r="G15" i="9" s="1"/>
  <c r="E23" i="10"/>
  <c r="G18" i="9" s="1"/>
  <c r="E24" i="10"/>
  <c r="E25" i="10"/>
  <c r="G19" i="9" s="1"/>
  <c r="E26" i="10"/>
  <c r="E27" i="10"/>
  <c r="G31" i="9" s="1"/>
  <c r="E28" i="10"/>
  <c r="G32" i="9" s="1"/>
  <c r="E29" i="10"/>
  <c r="G30" i="9" s="1"/>
  <c r="E30" i="10"/>
  <c r="G26" i="9" s="1"/>
  <c r="E31" i="10"/>
  <c r="G27" i="9" s="1"/>
  <c r="E2" i="10"/>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2" i="9"/>
  <c r="G33" i="9" l="1"/>
  <c r="G25" i="9"/>
  <c r="G34" i="9"/>
  <c r="G22" i="9"/>
  <c r="G6" i="9"/>
  <c r="G21" i="9"/>
  <c r="G17" i="9"/>
  <c r="G13" i="9"/>
  <c r="G9" i="9"/>
  <c r="G28" i="9"/>
  <c r="G24" i="9"/>
  <c r="G20" i="9"/>
  <c r="G16" i="9"/>
  <c r="G8" i="9"/>
  <c r="G4" i="9"/>
  <c r="G23" i="9"/>
</calcChain>
</file>

<file path=xl/sharedStrings.xml><?xml version="1.0" encoding="utf-8"?>
<sst xmlns="http://schemas.openxmlformats.org/spreadsheetml/2006/main" count="2903" uniqueCount="989">
  <si>
    <t>Оценка и дата сдачи экзамена</t>
  </si>
  <si>
    <t>История и философия науки</t>
  </si>
  <si>
    <t>Приборы и методы контроля природной среды, веществ, материалов и изделий</t>
  </si>
  <si>
    <t>(фамилия, имя, отчество)</t>
  </si>
  <si>
    <t>по образовательной программе, соответствующей специальности  научных работников</t>
  </si>
  <si>
    <t>Иностранный язык</t>
  </si>
  <si>
    <t xml:space="preserve">Отлично </t>
  </si>
  <si>
    <t>Председатель комиссии:</t>
  </si>
  <si>
    <t xml:space="preserve">Члены комиссии: </t>
  </si>
  <si>
    <t>Члены комиссии:</t>
  </si>
  <si>
    <t>Юдин А.И., доктор философских наук, профессор, профессор кафедры «История и философия».</t>
  </si>
  <si>
    <t>Информационно-измерительные и управляющие системы</t>
  </si>
  <si>
    <t>ФИО Полностью - в дательном падеже</t>
  </si>
  <si>
    <t>c (приказ №, дата)</t>
  </si>
  <si>
    <t>по (приказ №, дата)</t>
  </si>
  <si>
    <t xml:space="preserve">направление подготовки научно-педагогических кадров в аспирантуре </t>
  </si>
  <si>
    <t>ФИО - Фамилия+инициалы</t>
  </si>
  <si>
    <t>Оценка</t>
  </si>
  <si>
    <t>Дата</t>
  </si>
  <si>
    <t>год</t>
  </si>
  <si>
    <t>ШЕЛЬ ЕВГЕНИИ ЮРЬЕВНЕ</t>
  </si>
  <si>
    <t>Шель Евгения Юрьевна</t>
  </si>
  <si>
    <t>Даниш Абдул Барей</t>
  </si>
  <si>
    <t>Меркушева Наталия Павловна</t>
  </si>
  <si>
    <t>Козлова Юлия Алексеевна</t>
  </si>
  <si>
    <t>Струлева Ирина Александровна</t>
  </si>
  <si>
    <t>Мазалов Александр Николаевич</t>
  </si>
  <si>
    <t>Минаев Евгений Андреевич</t>
  </si>
  <si>
    <t>Трефилов Павел Александрович</t>
  </si>
  <si>
    <t>Сычев Владислав Андреевич</t>
  </si>
  <si>
    <t>Алиев Нариман Эльшан оглы</t>
  </si>
  <si>
    <t>Трофимов Денис Валерьевич</t>
  </si>
  <si>
    <t>Ягубов Виктор Сахибович</t>
  </si>
  <si>
    <t>Борискина Екатерина Алексеевна</t>
  </si>
  <si>
    <t>Самохина Вероника Алексеевна</t>
  </si>
  <si>
    <t>Сухорукова Татьяна  Александровна</t>
  </si>
  <si>
    <t>Бабкин Александр Викторович</t>
  </si>
  <si>
    <t>Нескоромная Елена Анатольевна</t>
  </si>
  <si>
    <t>04.06.01</t>
  </si>
  <si>
    <t>Химические науки</t>
  </si>
  <si>
    <t>08.06.01</t>
  </si>
  <si>
    <t>Техника и технология строительства</t>
  </si>
  <si>
    <t>09.06.01</t>
  </si>
  <si>
    <t>Информатика и вычислительная техника</t>
  </si>
  <si>
    <t>12.06.01</t>
  </si>
  <si>
    <t>Фотоника, приборостроение, оптические и биотехнические системы и технологии</t>
  </si>
  <si>
    <t>15.06.01</t>
  </si>
  <si>
    <t>Машиностроение</t>
  </si>
  <si>
    <t>18.06.01</t>
  </si>
  <si>
    <t>Химическая технология</t>
  </si>
  <si>
    <t>27.06.01</t>
  </si>
  <si>
    <t>Управление в технических системах</t>
  </si>
  <si>
    <t>28.06.01</t>
  </si>
  <si>
    <t>Нанотехнологии и наноматериалы</t>
  </si>
  <si>
    <t>Николюкин Алексей Николаевич</t>
  </si>
  <si>
    <t>Свитавский Евгений Валерьевич</t>
  </si>
  <si>
    <t>Аль Фадхли Кхазаал Хамид Кхазаал</t>
  </si>
  <si>
    <t>Бесперстова Галина Сергеевна</t>
  </si>
  <si>
    <t>Смольский Григорий Владимирович</t>
  </si>
  <si>
    <t>Апраксина Ольга Николаевна</t>
  </si>
  <si>
    <t>Добросоцкий Николай Иванович</t>
  </si>
  <si>
    <t>Карташова Алла Геннадьевна</t>
  </si>
  <si>
    <t>45.06.01</t>
  </si>
  <si>
    <t>Языкознание и литературоведение</t>
  </si>
  <si>
    <t>46.06.01</t>
  </si>
  <si>
    <t>Исторические науки и археология</t>
  </si>
  <si>
    <t>Фарахшина Ираида Валерьевна</t>
  </si>
  <si>
    <t>Алфедейлат Ферас М М</t>
  </si>
  <si>
    <t>41.06.01</t>
  </si>
  <si>
    <t>Политические науки и регионоведение</t>
  </si>
  <si>
    <t>Карганова Алина Юрьевна</t>
  </si>
  <si>
    <t>Суоп Камто Полин</t>
  </si>
  <si>
    <t>Лакомкин Никита Алексеевич</t>
  </si>
  <si>
    <t>Сосюра Даниил Дмитриевич</t>
  </si>
  <si>
    <t>38.06.01</t>
  </si>
  <si>
    <t>Экономика</t>
  </si>
  <si>
    <t>ФИО</t>
  </si>
  <si>
    <t>Шифр</t>
  </si>
  <si>
    <t>Направление</t>
  </si>
  <si>
    <t>Специальность научных работников</t>
  </si>
  <si>
    <t>04.06.01.01</t>
  </si>
  <si>
    <t>Электрохимия</t>
  </si>
  <si>
    <t>08.06.01.01</t>
  </si>
  <si>
    <t>Строительные конструкции, здания и сооружения</t>
  </si>
  <si>
    <t>08.06.01.02</t>
  </si>
  <si>
    <t>Строительные материалы и изделия</t>
  </si>
  <si>
    <t>09.06.01.05</t>
  </si>
  <si>
    <t>Информационные системы и процессы</t>
  </si>
  <si>
    <t>12.06.01.01</t>
  </si>
  <si>
    <t>12.06.01.02</t>
  </si>
  <si>
    <t>Приборы, системы и изделия медицинского назначения</t>
  </si>
  <si>
    <t>12.06.01.03</t>
  </si>
  <si>
    <t>15.06.01.02</t>
  </si>
  <si>
    <t>Машины, агрегаты и процессы</t>
  </si>
  <si>
    <t>18.06.01.03</t>
  </si>
  <si>
    <t>Процессы и аппараты химических технологий</t>
  </si>
  <si>
    <t>27.06.01.02</t>
  </si>
  <si>
    <t>Автоматизированное управление технологическими процессами и производствами</t>
  </si>
  <si>
    <t>28.06.01.01</t>
  </si>
  <si>
    <t>45.06.01.02</t>
  </si>
  <si>
    <t>Теория языка</t>
  </si>
  <si>
    <t>46.06.01.01</t>
  </si>
  <si>
    <t>Отечественная история</t>
  </si>
  <si>
    <t>09.06.01.01</t>
  </si>
  <si>
    <t>Системный анализ, управление и обработка информации</t>
  </si>
  <si>
    <t>41.06.01.01</t>
  </si>
  <si>
    <t>Политические институты, процессы и технологии</t>
  </si>
  <si>
    <t>38.06.01.01</t>
  </si>
  <si>
    <t>38.06.01.02</t>
  </si>
  <si>
    <t>Финансы, денежное обращение и кредит</t>
  </si>
  <si>
    <t>Профиль</t>
  </si>
  <si>
    <t>Дисциплина профиля Б1.В.ОД.4</t>
  </si>
  <si>
    <t>01.06.01.01</t>
  </si>
  <si>
    <t>Механика деформируемого твердого тела</t>
  </si>
  <si>
    <t>05.06.01.01</t>
  </si>
  <si>
    <t>Экология</t>
  </si>
  <si>
    <t>08.06.01.03</t>
  </si>
  <si>
    <t>Проектирование и строительство дорог, метрополитенов, аэродромов, мостов и транспортных тоннелей</t>
  </si>
  <si>
    <t>09.06.01.02</t>
  </si>
  <si>
    <t>Автоматизация и управление технологическими процессами и производствами</t>
  </si>
  <si>
    <t>09.06.01.04</t>
  </si>
  <si>
    <t>Математическое моделирование, численные методы и комплексы программ</t>
  </si>
  <si>
    <t>10.06.01.01</t>
  </si>
  <si>
    <t>Методы и системы защиты информации, информационная безопасность</t>
  </si>
  <si>
    <t>11.06.01.01</t>
  </si>
  <si>
    <t>Радиотехника, в том числе системы и устройства телевидения</t>
  </si>
  <si>
    <t>11.06.01.02</t>
  </si>
  <si>
    <t>Системы, сети и устройства телекоммуникаций</t>
  </si>
  <si>
    <t>11.06.01.03</t>
  </si>
  <si>
    <t>Радиолокация и радионавигация</t>
  </si>
  <si>
    <t>Приборы и системы контроля природной среды, веществ, материалов и изделий</t>
  </si>
  <si>
    <t>Приборы, системы, изделия медицинского назначения</t>
  </si>
  <si>
    <t>13.06.01.01</t>
  </si>
  <si>
    <t>Электротехнические комплексы и системы</t>
  </si>
  <si>
    <t>18.06.01.01</t>
  </si>
  <si>
    <t>Технология электрохимических процессов и защита от коррозии</t>
  </si>
  <si>
    <t>Процессы и аппараты химической технологии</t>
  </si>
  <si>
    <t>27.06.01.05</t>
  </si>
  <si>
    <t>35.06.04.01</t>
  </si>
  <si>
    <t>Технологии и средства механизации сельского хозяйства</t>
  </si>
  <si>
    <t>Экономика и управление народным хозяйством</t>
  </si>
  <si>
    <t>05.13.01</t>
  </si>
  <si>
    <t>08.00.05</t>
  </si>
  <si>
    <t>08.00.10</t>
  </si>
  <si>
    <t>23.00.02</t>
  </si>
  <si>
    <t>07.00.02</t>
  </si>
  <si>
    <t>05.13.19</t>
  </si>
  <si>
    <t>Машины, агрегаты и процессы (по отраслям)</t>
  </si>
  <si>
    <t>05.13.06</t>
  </si>
  <si>
    <t>Автоматизация и управление технологическими процессами и производствами (по отраслям)</t>
  </si>
  <si>
    <t>05.25.05</t>
  </si>
  <si>
    <t>05.12.04</t>
  </si>
  <si>
    <t>05.12.13</t>
  </si>
  <si>
    <t>05.12.14</t>
  </si>
  <si>
    <t>01.02.04</t>
  </si>
  <si>
    <t>02.00.05</t>
  </si>
  <si>
    <t>03.02.08</t>
  </si>
  <si>
    <t>Экология (по отраслям)</t>
  </si>
  <si>
    <t>05.23.01</t>
  </si>
  <si>
    <t>05.23.05</t>
  </si>
  <si>
    <t>05.23.11</t>
  </si>
  <si>
    <t>5.13.18</t>
  </si>
  <si>
    <t>05.11.13</t>
  </si>
  <si>
    <t>05.11.17</t>
  </si>
  <si>
    <t>05.11.16</t>
  </si>
  <si>
    <t>Информационноизмерительные и управляющие системы (по отраслям)</t>
  </si>
  <si>
    <t>05.09.03</t>
  </si>
  <si>
    <t>05.02.13</t>
  </si>
  <si>
    <t>05.17.03</t>
  </si>
  <si>
    <t>05.17.08</t>
  </si>
  <si>
    <t>05.16.08</t>
  </si>
  <si>
    <t>Нанотехнологии и наноматериалы (по отраслям)</t>
  </si>
  <si>
    <t>05.20.01</t>
  </si>
  <si>
    <t>10.02.19</t>
  </si>
  <si>
    <t>Специальность</t>
  </si>
  <si>
    <t>Название предмета 1</t>
  </si>
  <si>
    <t>Название предмета 2</t>
  </si>
  <si>
    <t>Название предмета 3</t>
  </si>
  <si>
    <t>Д</t>
  </si>
  <si>
    <t>М</t>
  </si>
  <si>
    <t>Г</t>
  </si>
  <si>
    <t>№</t>
  </si>
  <si>
    <t>Месяц</t>
  </si>
  <si>
    <t>Год</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</si>
  <si>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</si>
  <si>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</si>
  <si>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</si>
  <si>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</si>
  <si>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</si>
  <si>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</si>
  <si>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</si>
  <si>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</si>
  <si>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</si>
  <si>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</si>
  <si>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</si>
  <si>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</si>
  <si>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</si>
  <si>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</si>
  <si>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</si>
  <si>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</si>
  <si>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</si>
  <si>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</si>
  <si>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</si>
  <si>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</si>
  <si>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</si>
  <si>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</si>
  <si>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</si>
  <si>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</si>
  <si>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</si>
  <si>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</si>
  <si>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</si>
  <si>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</si>
  <si>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</si>
  <si>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</si>
  <si>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</si>
  <si>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января</t>
  </si>
  <si>
    <t>февраля</t>
  </si>
  <si>
    <t>марта</t>
  </si>
  <si>
    <t>апреля</t>
  </si>
  <si>
    <t>мая</t>
  </si>
  <si>
    <t>июня</t>
  </si>
  <si>
    <t>июля</t>
  </si>
  <si>
    <t>августа</t>
  </si>
  <si>
    <t>сентября</t>
  </si>
  <si>
    <t>октября</t>
  </si>
  <si>
    <t>ноября</t>
  </si>
  <si>
    <t>декабря</t>
  </si>
  <si>
    <t>24 января</t>
  </si>
  <si>
    <t xml:space="preserve">Слезин А.А., доктор исторических  наук, профессор, зав. кафедрой «История и философия»,  заместитель председателя комиссии; </t>
  </si>
  <si>
    <t>Самохин К.В., кандидат исторических наук, доцент, доцент кафедры «История и философия»</t>
  </si>
  <si>
    <t>Терехова Г.Л., кандидат философских наук, доцент, доцент кафедры «История и философия»</t>
  </si>
  <si>
    <t>Член комиссии 1</t>
  </si>
  <si>
    <t>Член комиссии 2</t>
  </si>
  <si>
    <t>Юдин А.И., доктор философских наук, профессор, профессор кафедры «История и философия»</t>
  </si>
  <si>
    <t>Пономарев С.В., доктор технических наук, профессор, профессор кафедры «Мехатроника и технологические измерения»</t>
  </si>
  <si>
    <t>Макеева М.Н., доктор филологических наук, профессор, зав. кафедрой «Иностранный язык»</t>
  </si>
  <si>
    <t xml:space="preserve">Гунина Н.А., кандидат филологических наук, доцент, зав. кафедрой «Международная профессиональная и научная коммуникация», заместитель председателя комиссии; </t>
  </si>
  <si>
    <t xml:space="preserve">Королева Л.Ю., кандидат филологических наук, доцент, доцент кафедры «Международная профессиональная и научная коммуникация»; </t>
  </si>
  <si>
    <t>Зарапина И.В., кандидат химических наук, доцент, доцент кафедры «Химия и химические технологии»</t>
  </si>
  <si>
    <t>Член комиссии 3</t>
  </si>
  <si>
    <t>22 июня</t>
  </si>
  <si>
    <t>27 июня</t>
  </si>
  <si>
    <t>Рухов А.В., доктор технических наук, доцент, заведующий кафедрой «Химия и химические технологии»</t>
  </si>
  <si>
    <t xml:space="preserve">Дьячкова Т.П., доктор химических наук, доцент, доцент кафедры "Химия и химические технологии",  заместитель председателя комиссии; </t>
  </si>
  <si>
    <t>???</t>
  </si>
  <si>
    <t>МЕРКУШЕВОЙ НАТАЛИИ ПАВЛОВНЕ</t>
  </si>
  <si>
    <t>КОЗЛОВОЙ ЮЛИИ АЛЕКСЕЕВНЕ</t>
  </si>
  <si>
    <t>СТРУЛЕВОЙ ИРИНЕ АЛЕКСАНДРОВНЕ</t>
  </si>
  <si>
    <t>МАЗАЛОВУ АЛЕКСАНДРУ НИКОЛАЕВИЧУ</t>
  </si>
  <si>
    <t>МИНАЕВУ ЕВГЕНИЮ АНДРЕЕВИЧУ</t>
  </si>
  <si>
    <t>ТРЕФИЛОВУ ПАВЛУ АЛЕКСАНДРОВИЧУ</t>
  </si>
  <si>
    <t>СЫЧЕВУ ВЛАДИСЛАВУ АНДРЕЕВИЧУ</t>
  </si>
  <si>
    <t>ТРОФИМОВУ ДЕНИСУ ВАЛЕРЬЕВИЧУ</t>
  </si>
  <si>
    <t>ЯГУБОВУ ВИКТОРУ САХИБОВИЧУ</t>
  </si>
  <si>
    <t>БОРИСКИНОЙ ЕКАТЕРИНЕ АЛЕКСЕЕВНЕ</t>
  </si>
  <si>
    <t>САМОХИНОЙ ВЕРОНИКЕ АЛЕКСЕЕВНЕ</t>
  </si>
  <si>
    <t>СУХОРУКОВОЙ ТАТЬЯНЕ АЛЕКСАНДРОВНЕ</t>
  </si>
  <si>
    <t>БАБКИНУ АЛЕКСАНДРУ ВИКТОРОВИЧУ</t>
  </si>
  <si>
    <t>НЕСКОРОМНОЙ ЕЛЕНЕ АНАТОЛЬЕВНЕ</t>
  </si>
  <si>
    <t>НИКОЛЮКИНУ АЛЕКСЕЮ НИКОЛАЕВИЧУ</t>
  </si>
  <si>
    <t>СВИТАВСКОМУ ЕВГЕНИЮ ВАЛЕРЬЕВИЧУ</t>
  </si>
  <si>
    <t>БЕСПЕРСТОВОЙ ГАЛИНЕ СЕРГЕЕВНЕ</t>
  </si>
  <si>
    <t>СМОЛЬСКОМУ ГРИГОРИЮ ВЛАДИМИРОВИЧУ</t>
  </si>
  <si>
    <t>АПРАКСИНОЙ ОЛЬГЕ НИКОЛАЕВНЕ</t>
  </si>
  <si>
    <t>ДОБРОСОЦКОМУ НИКОЛАЮ ИВАНОВИЧУ</t>
  </si>
  <si>
    <t>КАРТАШОВОЙ АЛЛЕ ГЕННАДЬЕВНЕ</t>
  </si>
  <si>
    <t>ФАРАХШИНОЙ ИРАИДЕ ВАЛЕРЬЕВНЕ</t>
  </si>
  <si>
    <t>КАРГАНОВОЙ АЛИНЕ ЮРЬЕВНЕ</t>
  </si>
  <si>
    <t>ЛАКОМКИНУ НИКИТЕ АЛЕКСЕЕВИЧУ</t>
  </si>
  <si>
    <t>СОСЮРЕ ДАНИИЛУ ДМИТРИЕВИЧУ</t>
  </si>
  <si>
    <t>Макеева М.Н., доктор филологических наук, профессор, зав. кафедрой «Иностранных языков»</t>
  </si>
  <si>
    <t>Гуляева Е.А., кандидат педагогических наук, доцент, доцент кафедры «Иностранных языков»</t>
  </si>
  <si>
    <t>Червяков В.М., доктор технических наук, доцент, профессор кафедры «Техническая механика и детали машин»</t>
  </si>
  <si>
    <t>Слезин А.А., доктор исторических  наук, профессор, зав. кафедрой «История и философия»,  заместитель председателя комиссии</t>
  </si>
  <si>
    <t>Гунина Н.А., кандидат филологических наук, доцент, зав. кафедрой «Международная профессиональная и научная коммуникация», заместитель председателя комиссии</t>
  </si>
  <si>
    <t>Королева Л.Ю., кандидат филологических наук, доцент, доцент кафедры «Международная профессиональная и научная коммуникация»</t>
  </si>
  <si>
    <t>Бородулина Н.Ю., доктор филологических наук, доцент, профессор кафедры «Иностранных языков», заместитель председателя комиссии</t>
  </si>
  <si>
    <t>Дьячкова Т.П., доктор химических наук, доцент, доцент кафедры «Химия и химические технологии», заместитель председателя комиссии</t>
  </si>
  <si>
    <t>Рухов А.В., доктор технических наук, доцент, зав. кафедрой «Химия и химические технологии»</t>
  </si>
  <si>
    <t>Иванова О.Г., кандидат технических наук, доцент, профессор кафедры «Информационные системы и защита информации»</t>
  </si>
  <si>
    <t>Леденев В.В., доктор технических наук, профессор, профессор кафедры «Конструкции зданий и сооружений», заместитель председателя комиссии</t>
  </si>
  <si>
    <t>Леденев В.И., доктор технических наук, профессор, профессор кафедры «Городское строительство и автомобильные дороги»</t>
  </si>
  <si>
    <t>Ярцев В.П., доктор технических наук, профессор, профессор кафедры «Конструкции зданий и сооружений»</t>
  </si>
  <si>
    <t>Монастырев П.В., доктор технических наук, доцент, директор института архитектуры, строительства и транспорта</t>
  </si>
  <si>
    <t>Громов Ю.Ю., доктор технических наук, профессор, директор института автоматики и информационных технологий</t>
  </si>
  <si>
    <t>Дидрих В.Е., доктор технических наук, профессор, профессор кафедры «Информационные системы и защита информации»</t>
  </si>
  <si>
    <t>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t>
  </si>
  <si>
    <t>Григорьева В.С., кандидат филологических наук, доцент, профессор кафедры «Иностранных языков», заместитель председателя комиссии</t>
  </si>
  <si>
    <t>Чеботарева Г.Н., кандидат филологических наук, ст. преподаватель кафедры «Международная профессиональная и научная коммуникация»</t>
  </si>
  <si>
    <t>Фролов С.В., доктор технических наук, профессор, зав. кафедрой «Биомедицинская техника»</t>
  </si>
  <si>
    <t>Дивин А.Г., доктор технических наук, доцент, зав. кафедрой «Мехатроника и технологические измерения»</t>
  </si>
  <si>
    <t>Балабанов П.В., доктор технических наук, доцент, доцент кафедры «Мехатроника и технологические измерения»</t>
  </si>
  <si>
    <t>Пономарев С.В., доктор технических наук, профессор, профессор кафедры «Мехатроника и технологические измерения», заместитель председателя комиссии</t>
  </si>
  <si>
    <t>Проскурин С.Г., доктор технических наук, доцент, доцент кафедры «Биомедицинская техника», заместитель председателя комиссии</t>
  </si>
  <si>
    <t>Дубровин В.В., кандидат технических наук, доцент, доцент кафедры «Биомедицинская техника»</t>
  </si>
  <si>
    <t>Муромцев Д.Ю., доктор технических наук, профессор, проректор по научно-инновационной деятельности</t>
  </si>
  <si>
    <t>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t>
  </si>
  <si>
    <t>Павлов В.И., доктор технических наук, профессор, профессор кафедры «Конструирование радиоэлектронных и микропроцессорных систем»</t>
  </si>
  <si>
    <t>Юдин А.И., доктор философских наук, профессор, профессор кафедры «История и философия»,  заместитель председателя комиссии</t>
  </si>
  <si>
    <t>Соколов М.В.,  доктор технических наук, доцент, профессор кафедры «Компьютерно-интегрированные системы в машиностроении»</t>
  </si>
  <si>
    <t>Ткачев А.Г., доктор технических наук, профессор, зав. кафедрой «Техника и технологии производства нанопродуктов»</t>
  </si>
  <si>
    <t>Першин В.Ф., доктор технических наук, профессор, профессор кафедры  «Техника и технологии производства нанопродуктов», заместитель председателя комиссии</t>
  </si>
  <si>
    <t>Промтов М.А., доктор технических наук, профессор, профессор кафедры  «Технологические процессы, аппараты и техносферная безопасность»</t>
  </si>
  <si>
    <t>Пахомов А.Н., кандидат технических наук, доцент, доцент кафедры «Технологические процессы, аппараты и техносферная безопасность»</t>
  </si>
  <si>
    <t>Гатапова Н.Ц., доктор технических наук, профессор, зав. кафедрой  «Технологические процессы, аппараты и техносферная безопасность»</t>
  </si>
  <si>
    <t>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t>
  </si>
  <si>
    <t>Попова И.М., доктор филологических наук, профессор, зав. кафедрой «Русская филология»</t>
  </si>
  <si>
    <t>Губанова Т.В., кандидат филологических наук, доцент, доцент кафедры «Русская филология», заместитель председателя комиссии</t>
  </si>
  <si>
    <t>Немцова Н.М., кандидат филологических наук, доцент, зам. декана факультета международного образования</t>
  </si>
  <si>
    <t>Промтов М.А., доктор технических наук, профессор, декан факультета международного образования</t>
  </si>
  <si>
    <t>Назаров В.Н., кандидат технических наук, доцент кафедры «Информационные процессы и управление»</t>
  </si>
  <si>
    <t>Матвейкин В.Г., доктор технических наук, профессор, зав. кафедрой «Информационные процессы и управление»</t>
  </si>
  <si>
    <t>Дмитриевский Б.С., доктор технических наук, доцент, профессор кафедры  «Информационные процессы и управление», заместитель председателя комиссии</t>
  </si>
  <si>
    <t>Третьяков А.А., кандидат технических наук, доцент, доцент кафедры «Информационные процессы и управление»</t>
  </si>
  <si>
    <t xml:space="preserve">Пасько Т.В., кандидат технических наук, доцент, доцент кафедры «Техника и технологии производства нанопродуктов» </t>
  </si>
  <si>
    <t>Рухов А.В., доктор технических наук, доцент, зав. кафедрой «Химия и химические технологии», заместитель председателя комиссии</t>
  </si>
  <si>
    <t>Туголуков Е.Н., доктор технических наук, профессор, профессор кафедры  «Техника и технологии производства нанопродуктов»</t>
  </si>
  <si>
    <t>Дворецкий С.И., доктор технических наук, профессор, научный руководитель межкафедральной научно-исследовательской лаборатории «Математическое моделирование и интегрированное проектирование систем»</t>
  </si>
  <si>
    <t>Карпушкин С.В., доктор технических наук, профессор, профессор кафедры «Компьютерно-интегрированные системы в машиностроении», заместитель председателя комиссии</t>
  </si>
  <si>
    <t>Алексеев В.В., доктор технических наук, профессор, зав. кафедрой «Информационные системы и защита информации»</t>
  </si>
  <si>
    <t>АЛИЕВУ НАРИМАН ЭЛЬШАН ОГЛЫ</t>
  </si>
  <si>
    <t>ДАНИШ АБДУЛ БАРЕЙ</t>
  </si>
  <si>
    <t>АЛЬ ФАДХЛИ КХАЗААЛ ХАМИД КХАЗААЛ</t>
  </si>
  <si>
    <t>АЛФЕДЕЙЛАТ ФЕРАС М М</t>
  </si>
  <si>
    <t>СУОП КАМТО ПОЛИН</t>
  </si>
  <si>
    <t>Экономика и управление народным хозяйством (по отраслям)</t>
  </si>
  <si>
    <t>21 января</t>
  </si>
  <si>
    <t>20 июня</t>
  </si>
  <si>
    <t>28 июня</t>
  </si>
  <si>
    <t>25 января</t>
  </si>
  <si>
    <t>Хорошо</t>
  </si>
  <si>
    <t>21 июня</t>
  </si>
  <si>
    <t>26 января</t>
  </si>
  <si>
    <t>25 июня</t>
  </si>
  <si>
    <t>18 января</t>
  </si>
  <si>
    <t>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t>
  </si>
  <si>
    <t>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t>
  </si>
  <si>
    <t>ГОРБУНОВОЙ АНАСТАСИИ ЮРЬЕВНЕ</t>
  </si>
  <si>
    <t>Горбунова Анастасия Юрьевна</t>
  </si>
  <si>
    <t>26 июня</t>
  </si>
  <si>
    <t>27 января</t>
  </si>
  <si>
    <t>ЧЕПУРНОВОЙ АЛЕКСАНДРЕ ВЛАДИМИРОВНЕ</t>
  </si>
  <si>
    <t>Чепурнова Александра Владимировна</t>
  </si>
  <si>
    <t>24 июня</t>
  </si>
  <si>
    <t>Удовлетворительно</t>
  </si>
  <si>
    <t>28 января</t>
  </si>
  <si>
    <t>23 июня</t>
  </si>
  <si>
    <t>23 января</t>
  </si>
  <si>
    <t>962-08</t>
  </si>
  <si>
    <t>1402-08</t>
  </si>
  <si>
    <t>1016-08</t>
  </si>
  <si>
    <t>987-08</t>
  </si>
  <si>
    <t>1270-08</t>
  </si>
  <si>
    <t>963-08</t>
  </si>
  <si>
    <t>964-08</t>
  </si>
  <si>
    <t>1023-08</t>
  </si>
  <si>
    <t>122/7-08</t>
  </si>
  <si>
    <t>1286-08</t>
  </si>
  <si>
    <t>895-08</t>
  </si>
  <si>
    <t>УТВЕРЖДАЮ:</t>
  </si>
  <si>
    <t>Председатель комиссии</t>
  </si>
  <si>
    <t>(фамилия, инициалы, ученая степень, ученое звание, должность)</t>
  </si>
  <si>
    <t>Прием кандидатского экзамена по дисциплине</t>
  </si>
  <si>
    <t>(фамилия, имя, отчество экзаменуемого лица)</t>
  </si>
  <si>
    <t>На экзамене были заданы следующие вопросы:</t>
  </si>
  <si>
    <t>ПОСТАНОВИЛИ</t>
  </si>
  <si>
    <t>СЛУШАЛИ</t>
  </si>
  <si>
    <t xml:space="preserve">сдал(а) экзамен с оценкой </t>
  </si>
  <si>
    <t>(фамилия, инициалы)</t>
  </si>
  <si>
    <t>(подпись)</t>
  </si>
  <si>
    <r>
      <t xml:space="preserve">« </t>
    </r>
    <r>
      <rPr>
        <u/>
        <sz val="12"/>
        <color theme="1"/>
        <rFont val="Times New Roman"/>
        <family val="1"/>
        <charset val="204"/>
      </rPr>
      <t xml:space="preserve">       </t>
    </r>
    <r>
      <rPr>
        <sz val="12"/>
        <color theme="1"/>
        <rFont val="Times New Roman"/>
        <family val="1"/>
        <charset val="204"/>
      </rPr>
      <t xml:space="preserve"> » </t>
    </r>
    <r>
      <rPr>
        <u/>
        <sz val="12"/>
        <color theme="1"/>
        <rFont val="Times New Roman"/>
        <family val="1"/>
        <charset val="204"/>
      </rPr>
      <t xml:space="preserve">                        </t>
    </r>
    <r>
      <rPr>
        <sz val="12"/>
        <color theme="1"/>
        <rFont val="Times New Roman"/>
        <family val="1"/>
        <charset val="204"/>
      </rPr>
      <t xml:space="preserve"> 20 </t>
    </r>
    <r>
      <rPr>
        <u/>
        <sz val="12"/>
        <color theme="1"/>
        <rFont val="Times New Roman"/>
        <family val="1"/>
        <charset val="204"/>
      </rPr>
      <t xml:space="preserve">     </t>
    </r>
    <r>
      <rPr>
        <sz val="12"/>
        <color theme="1"/>
        <rFont val="Times New Roman"/>
        <family val="1"/>
        <charset val="204"/>
      </rPr>
      <t xml:space="preserve"> г.</t>
    </r>
  </si>
  <si>
    <t>Члены комиссии №1:</t>
  </si>
  <si>
    <t>Члены комиссии №2:</t>
  </si>
  <si>
    <t>Пахомов А.Н., доктор технических наук, доцент, доцент кафедры «Технологические процессы, аппараты и техносферная безопасность»</t>
  </si>
  <si>
    <t>Наякшин Дмитрий Андреевич</t>
  </si>
  <si>
    <t>Зотов Евгений Сергеевич</t>
  </si>
  <si>
    <t>Зарапина Любовь Сергеевна</t>
  </si>
  <si>
    <t>Николюкин Максим Сергеевич</t>
  </si>
  <si>
    <t>Аль-Амиди Мустафа Абдулкадим Дхаир</t>
  </si>
  <si>
    <t>Абд Али Хуссейн Наджм Абд Али</t>
  </si>
  <si>
    <t>Альшатари Каррар Зухаир Хасан</t>
  </si>
  <si>
    <t>Дубровина Оксана Васильевна</t>
  </si>
  <si>
    <t>Чиликин Георгий Олегович</t>
  </si>
  <si>
    <t>Аль Зурфи Мохаммед Хуссейн Мифтах</t>
  </si>
  <si>
    <t>Зайцев Александр Евгеньевич</t>
  </si>
  <si>
    <t>Тихомирова Алина Александровна</t>
  </si>
  <si>
    <t>Кирюпин Михаил Михайлович</t>
  </si>
  <si>
    <t>Захаров Юрий Андреевич</t>
  </si>
  <si>
    <t>Кене Тагне Мартин</t>
  </si>
  <si>
    <t>Корпусов Дмитрий Владимирович</t>
  </si>
  <si>
    <t>Рязанов Иван Викторович</t>
  </si>
  <si>
    <t>Савинова Кристина Сергеевна</t>
  </si>
  <si>
    <t>Судаков Дмитрий Евгеньевич</t>
  </si>
  <si>
    <t>Дементьев Роман Олегович</t>
  </si>
  <si>
    <t>Альдавуд Саиф Сухайл Юсиф</t>
  </si>
  <si>
    <t>Зорина Ольга Александровна</t>
  </si>
  <si>
    <t>Махмуд Мохаммед Али Сами</t>
  </si>
  <si>
    <t>Усман Фиделис Джонах</t>
  </si>
  <si>
    <t>Курьято Николай Алексеевич</t>
  </si>
  <si>
    <t>Михайлин Максим Игоревич</t>
  </si>
  <si>
    <t>Еськова Мария Александровна</t>
  </si>
  <si>
    <t>Лазеев Александр Сергеевич</t>
  </si>
  <si>
    <t>Терехова Анастасия Андреевна</t>
  </si>
  <si>
    <t>Земцова Наталия Викторовна</t>
  </si>
  <si>
    <t>Рыжкин Владимир Юрьевич</t>
  </si>
  <si>
    <t>Хробак Анастасия Витальевна</t>
  </si>
  <si>
    <t>Глазков Андрей Юрьевич</t>
  </si>
  <si>
    <t>Жариков Вадим Сергеевич</t>
  </si>
  <si>
    <t>Аль-Явар Али Адиб Фадил</t>
  </si>
  <si>
    <t>Аль Дахери Абан Аббас Абдулла</t>
  </si>
  <si>
    <t>Альаруси Закария Мунассар Мухаммад</t>
  </si>
  <si>
    <t>Кузнецова Елена Анатольевна</t>
  </si>
  <si>
    <t>ПОСТАНОВИЛИ:</t>
  </si>
  <si>
    <r>
      <t xml:space="preserve">ПРОТОКОЛ № </t>
    </r>
    <r>
      <rPr>
        <u/>
        <sz val="14"/>
        <color theme="1"/>
        <rFont val="Times New Roman"/>
        <family val="1"/>
        <charset val="204"/>
      </rPr>
      <t xml:space="preserve">                     </t>
    </r>
    <r>
      <rPr>
        <b/>
        <sz val="14"/>
        <color theme="0"/>
        <rFont val="Times New Roman"/>
        <family val="1"/>
        <charset val="204"/>
      </rPr>
      <t>1</t>
    </r>
  </si>
  <si>
    <t>Першин В.Ф., доктор технических наук, профессор, профессор  кафедры «Техника и технологии производства нанопродуктов», заместитель председателя комиссии</t>
  </si>
  <si>
    <t>Промтов М.А., доктор технических наук, профессор, профессор кафедры «Технологические процессы, аппараты и техносферная безопасность»</t>
  </si>
  <si>
    <t>Дивин А.Г., доктор технических наук, доцент, профессор кафедры «Мехатроника и технологические измерения», заместитель председателя комиссии</t>
  </si>
  <si>
    <t>Проскурин С.Г., доктор технических наук, доцент, профессор кафедры «Биомедицинская техника», заместитель председателя комиссии</t>
  </si>
  <si>
    <t>Дубровин В.В., кандидат технических наук, доцент, доцент  кафедры «Биомедицинская техника»</t>
  </si>
  <si>
    <t>Егоров С.Я., доктор технических наук, доцент, профессор кафедры «Компьютерно-интегрированные системы в машиностроении»</t>
  </si>
  <si>
    <t>Литовка Ю.В., доктор технических наук, профессор, профессор кафедры «Системы автоматизированной поддержки принятия решений»</t>
  </si>
  <si>
    <t>Абоносимов О.А.,  доктор  технических наук, доцент, научный сотрудник научно-образовательного центра в области безотходных и малоотходных технологий, заместитель председателя комиссии</t>
  </si>
  <si>
    <t>Туголуков Е.Н., доктор технических наук, профессор, профессор  кафедры «Техника и технологии производства нанопродуктов», заместитель председателя комиссии</t>
  </si>
  <si>
    <t>Леденев В.В., доктор технических наук, профессор, профессор кафедры «Конструкции зданий и сооружений» заместитель председателя комиссии</t>
  </si>
  <si>
    <t>АМС32</t>
  </si>
  <si>
    <t>АБС31</t>
  </si>
  <si>
    <t>АУТ35</t>
  </si>
  <si>
    <t>АБС32</t>
  </si>
  <si>
    <t>АЭР32</t>
  </si>
  <si>
    <t>АВТ31</t>
  </si>
  <si>
    <t>АВТ34</t>
  </si>
  <si>
    <t>АВТ32</t>
  </si>
  <si>
    <t>АИБ31</t>
  </si>
  <si>
    <t>АНИ31</t>
  </si>
  <si>
    <t>АХТ31</t>
  </si>
  <si>
    <t>АХТ33</t>
  </si>
  <si>
    <t>АСТ31</t>
  </si>
  <si>
    <t>АВТ35</t>
  </si>
  <si>
    <t>АЗС11з</t>
  </si>
  <si>
    <t>АСТ13з</t>
  </si>
  <si>
    <t>АЭК11з</t>
  </si>
  <si>
    <t>АХН21</t>
  </si>
  <si>
    <t>Аль-Амери Саджа Нафеа Мохсин</t>
  </si>
  <si>
    <t>Рухов Антон Викторович</t>
  </si>
  <si>
    <t>АХН31</t>
  </si>
  <si>
    <t>Хан Юлиан Александрович</t>
  </si>
  <si>
    <t>АЗС11</t>
  </si>
  <si>
    <t>Баламутова Анна Андреевна</t>
  </si>
  <si>
    <t>АСТ11</t>
  </si>
  <si>
    <t>АСТ21</t>
  </si>
  <si>
    <t>Кейта Яя</t>
  </si>
  <si>
    <t>Хайдар Фарис</t>
  </si>
  <si>
    <t>Аль-Накди Ибтехаль Абдулмонем Али</t>
  </si>
  <si>
    <t>Путинцева Анастасия Александровна</t>
  </si>
  <si>
    <t>АСТ41</t>
  </si>
  <si>
    <t>Альджабуби Дхафер Зейд Мохаммед</t>
  </si>
  <si>
    <t>Яровая Татьяна Сергеевна</t>
  </si>
  <si>
    <t>АСТ22</t>
  </si>
  <si>
    <t>Кузнецов Владислав Андреевич</t>
  </si>
  <si>
    <t>Селезнев Артем Денисович</t>
  </si>
  <si>
    <t>АСТ32</t>
  </si>
  <si>
    <t>Алани Имам</t>
  </si>
  <si>
    <t>АСТ42</t>
  </si>
  <si>
    <t>Дубровин Алексей Иванович</t>
  </si>
  <si>
    <t>АСТ13</t>
  </si>
  <si>
    <t>Макая Лионель Мавунгу</t>
  </si>
  <si>
    <t>АСТ23з</t>
  </si>
  <si>
    <t>Голованев Алексей Сергеевич</t>
  </si>
  <si>
    <t>АСТ53з</t>
  </si>
  <si>
    <t>Бехзоди Бахтиёр</t>
  </si>
  <si>
    <t>Сенибабнов Сергей Анатольевич</t>
  </si>
  <si>
    <t>АВТ11</t>
  </si>
  <si>
    <t>АВТ21</t>
  </si>
  <si>
    <t>Батурина Елена Викторовна</t>
  </si>
  <si>
    <t>Мартьянов Евгений Игоревич</t>
  </si>
  <si>
    <t>Меркушова Кристина Андреевна</t>
  </si>
  <si>
    <t>Эль Эиссави Бадр Халил Махмуд</t>
  </si>
  <si>
    <t>Аль-Магсусии Хасан Фалих Хасан</t>
  </si>
  <si>
    <t>Архипов Алексей Евгениевич</t>
  </si>
  <si>
    <t>Сиухин Александр Андреевич</t>
  </si>
  <si>
    <t>АВТ12</t>
  </si>
  <si>
    <t>АВТ22</t>
  </si>
  <si>
    <t>Аль Кнфер Самер Нахи Альван</t>
  </si>
  <si>
    <t>Нсено-Пемби Дон-Юни</t>
  </si>
  <si>
    <t>Аль Руешд Моханад Хилаль Хамиди</t>
  </si>
  <si>
    <t>Соловьева Инна Александровна</t>
  </si>
  <si>
    <t>АВТ42</t>
  </si>
  <si>
    <t>Лемкина Мария Владимировна</t>
  </si>
  <si>
    <t>АВТ24</t>
  </si>
  <si>
    <t>Деяб Али Абдулсахиб Деяб</t>
  </si>
  <si>
    <t>Пчелинцева Ирина Юрьевна</t>
  </si>
  <si>
    <t>Алехин Павел Андреевич</t>
  </si>
  <si>
    <t>Банников Андрей Алексеевич</t>
  </si>
  <si>
    <t>АВТ15</t>
  </si>
  <si>
    <t>АВТ25</t>
  </si>
  <si>
    <t>Абд Алхади Хедр</t>
  </si>
  <si>
    <t>Аль Каркхи Мустафа Мохаммед Сакран</t>
  </si>
  <si>
    <t>Уланов Антон Олегович</t>
  </si>
  <si>
    <t>Шабанов Константин Борисович</t>
  </si>
  <si>
    <t>АВТ45</t>
  </si>
  <si>
    <t>Алмали Ахмед Аднан Латиф</t>
  </si>
  <si>
    <t>Аль-Маамари Гассан Абдулла Абдулвасиа</t>
  </si>
  <si>
    <t>Аль-Раммахи Али Абидалкарим Хабиб</t>
  </si>
  <si>
    <t>Высоцкий Андрей Владимирович</t>
  </si>
  <si>
    <t>Давыдова Наталия Александровна</t>
  </si>
  <si>
    <t>Сари Фарах Аббас Обаид</t>
  </si>
  <si>
    <t>АИБ11</t>
  </si>
  <si>
    <t>Моисеева Мария Владимировна</t>
  </si>
  <si>
    <t>АЭР21</t>
  </si>
  <si>
    <t>Сустин Александр Иванович</t>
  </si>
  <si>
    <t>АЭР41</t>
  </si>
  <si>
    <t>Удалова Анастасия Петровна</t>
  </si>
  <si>
    <t>АЭР12</t>
  </si>
  <si>
    <t>Диумесси Мори Фоде</t>
  </si>
  <si>
    <t>Колмыкова Анастасия Сергеевна</t>
  </si>
  <si>
    <t>Наумова Анастасия Юрьевна</t>
  </si>
  <si>
    <t>АБС11</t>
  </si>
  <si>
    <t>АБС21</t>
  </si>
  <si>
    <t>Лоскутова Анна Давидовна</t>
  </si>
  <si>
    <t>Небываев Артемий Вячеславович</t>
  </si>
  <si>
    <t>Барсуков Александр Андреевич</t>
  </si>
  <si>
    <t>Жиркова Александра Александровна</t>
  </si>
  <si>
    <t>Чапаксов Николай Андреевич</t>
  </si>
  <si>
    <t>АБС41</t>
  </si>
  <si>
    <t>Сафонова Маргарита Эдуардовна</t>
  </si>
  <si>
    <t>АБС12</t>
  </si>
  <si>
    <t>АБС22</t>
  </si>
  <si>
    <t>Куликов Роман Андреевич</t>
  </si>
  <si>
    <t>Непрокин Алексей Владимирович</t>
  </si>
  <si>
    <t>Болдырев Дмитрий Валерьевич</t>
  </si>
  <si>
    <t>Трубиенко Артем Александрович</t>
  </si>
  <si>
    <t>АБС42</t>
  </si>
  <si>
    <t>Новохацкий Денис Юрьевич</t>
  </si>
  <si>
    <t>АБС13</t>
  </si>
  <si>
    <t>АБС43</t>
  </si>
  <si>
    <t>Гришин Александр Витальевич</t>
  </si>
  <si>
    <t>АЭТ21</t>
  </si>
  <si>
    <t>Беларусси Уссама</t>
  </si>
  <si>
    <t>АЭТ31</t>
  </si>
  <si>
    <t>Лешелах Ахмед</t>
  </si>
  <si>
    <t>Шауки Илиес</t>
  </si>
  <si>
    <t>АМС12</t>
  </si>
  <si>
    <t>АМС22</t>
  </si>
  <si>
    <t>Зайцев Игорь Анатольевич</t>
  </si>
  <si>
    <t>Курносов Дмитрий Александрович</t>
  </si>
  <si>
    <t>Мансур Васем</t>
  </si>
  <si>
    <t>АМС22з</t>
  </si>
  <si>
    <t>Баити Адель</t>
  </si>
  <si>
    <t>Аль-Джарах Руаа Амер Салим</t>
  </si>
  <si>
    <t>Воронин Николай Владимирович</t>
  </si>
  <si>
    <t>Попова Алёна Алексеевна</t>
  </si>
  <si>
    <t>АМС42</t>
  </si>
  <si>
    <t>Кузнецова Татьяна Сергеевна</t>
  </si>
  <si>
    <t>АМС42з</t>
  </si>
  <si>
    <t>Кодиров Бунёд Бахтиёрович</t>
  </si>
  <si>
    <t>АХТ11</t>
  </si>
  <si>
    <t>АХТ21</t>
  </si>
  <si>
    <t>Котенев Сергей Игоревич</t>
  </si>
  <si>
    <t>Лазарев Дмитрий Сергеевич</t>
  </si>
  <si>
    <t>Луа Пепе</t>
  </si>
  <si>
    <t>Родионов Дмитрий Александрович</t>
  </si>
  <si>
    <t>Хохлов Павел Анатольевич</t>
  </si>
  <si>
    <t>АХТ41</t>
  </si>
  <si>
    <t>Левин Александр Александрович</t>
  </si>
  <si>
    <t>АХТ13</t>
  </si>
  <si>
    <t>АХТ23</t>
  </si>
  <si>
    <t>Еськов Владимир Александрович</t>
  </si>
  <si>
    <t>Мкртчян Элина Сааковна</t>
  </si>
  <si>
    <t>Устинская Яна Витальевна</t>
  </si>
  <si>
    <t>Акопян Сергей Акопович</t>
  </si>
  <si>
    <t>Алаамери Ехсан Хашим Мохаммед</t>
  </si>
  <si>
    <t>Джубари Мохаммед Кадер Абдулрахман</t>
  </si>
  <si>
    <t>Захиват Муртада Мохммед Аттья</t>
  </si>
  <si>
    <t>Тараканов Александр Геннадьевич</t>
  </si>
  <si>
    <t>АХТ43</t>
  </si>
  <si>
    <t>Балашова Евгения Андреевна</t>
  </si>
  <si>
    <t>Банин Роман Юрьевич</t>
  </si>
  <si>
    <t>Игнатов Николай Николаевич</t>
  </si>
  <si>
    <t>Муратова Наталья Сергеевна</t>
  </si>
  <si>
    <t>АУТ12</t>
  </si>
  <si>
    <t>АУТ22</t>
  </si>
  <si>
    <t>Василевский Константин Сергеевич</t>
  </si>
  <si>
    <t>АУТ32</t>
  </si>
  <si>
    <t>Кох-Татаренко Вадим Станиславович</t>
  </si>
  <si>
    <t>АУТ42</t>
  </si>
  <si>
    <t>Насрауи Марием</t>
  </si>
  <si>
    <t>Залукаева Наталия Юрьевна</t>
  </si>
  <si>
    <t>АНИ11</t>
  </si>
  <si>
    <t>АНИ21</t>
  </si>
  <si>
    <t>Аль-Баирмани Али Таир Рахим</t>
  </si>
  <si>
    <t>Аль-Халиди Мустафа Тамер Али</t>
  </si>
  <si>
    <t>Эззеддин Бахаа</t>
  </si>
  <si>
    <t>Аль-Машхадани Али Мохаммед Рашид</t>
  </si>
  <si>
    <t>АНИ41</t>
  </si>
  <si>
    <t>Алхило Заман Абуд Алмалик Абуд Али</t>
  </si>
  <si>
    <t>Аль-Шариф Али Джалаль Али</t>
  </si>
  <si>
    <t>Слдозьян Рами Джозеф Агаджан</t>
  </si>
  <si>
    <t>ААИ11</t>
  </si>
  <si>
    <t>ААИ31</t>
  </si>
  <si>
    <t>Альшинайиин Хайдер Джамил Джабер</t>
  </si>
  <si>
    <t>ААИ41з</t>
  </si>
  <si>
    <t>Кажияхметова Аинур Ароновна</t>
  </si>
  <si>
    <t>АЭК11</t>
  </si>
  <si>
    <t>Молонгуа Мечеба Сергио Ренато</t>
  </si>
  <si>
    <t>Штанько Оксана Павловна</t>
  </si>
  <si>
    <t>АЭК21</t>
  </si>
  <si>
    <t>Бутенко Антон Алексеевич</t>
  </si>
  <si>
    <t>Капия Тинотенда Карлтон</t>
  </si>
  <si>
    <t>АЭК21з</t>
  </si>
  <si>
    <t>Калашников Павел Олегович</t>
  </si>
  <si>
    <t>АЭК31</t>
  </si>
  <si>
    <t>Айвазян Нарек Ладикович</t>
  </si>
  <si>
    <t>Аль-Хамдави Алаа Аммар Талиб</t>
  </si>
  <si>
    <t>АЭК41з</t>
  </si>
  <si>
    <t>Филиппова Мария Игоревна</t>
  </si>
  <si>
    <t>АЭК22</t>
  </si>
  <si>
    <t>Мобио Акун Анна Стефани Роз И</t>
  </si>
  <si>
    <t>АЭК22з</t>
  </si>
  <si>
    <t>Шустова Вера Николаевна</t>
  </si>
  <si>
    <t>АПР11</t>
  </si>
  <si>
    <t>АПР41з</t>
  </si>
  <si>
    <t>Александров Артём Романович</t>
  </si>
  <si>
    <t>Воронова Светлана Владимировна</t>
  </si>
  <si>
    <t>Евдокимов Александр Святославович</t>
  </si>
  <si>
    <t>АЯЛ42з</t>
  </si>
  <si>
    <t>Юрина Ирина Анатольевна</t>
  </si>
  <si>
    <t>АИА21з</t>
  </si>
  <si>
    <t>Подлеснов Владимир Ильич</t>
  </si>
  <si>
    <t>/ А.А. Слезин /</t>
  </si>
  <si>
    <t>/ А.Ю. Вязинкин /</t>
  </si>
  <si>
    <r>
      <rPr>
        <u/>
        <sz val="12"/>
        <color theme="1"/>
        <rFont val="Times New Roman"/>
        <family val="1"/>
        <charset val="204"/>
      </rPr>
      <t xml:space="preserve">                     </t>
    </r>
    <r>
      <rPr>
        <sz val="12"/>
        <color theme="1"/>
        <rFont val="Times New Roman"/>
        <family val="1"/>
        <charset val="204"/>
      </rPr>
      <t xml:space="preserve"> Д.Ю. Муромцев</t>
    </r>
  </si>
  <si>
    <t>Проректор по научной работе</t>
  </si>
  <si>
    <t>МИНИСТЕРСТВО НАУКИ И ВЫСШЕГО ОБРАЗОВАНИЯ РОССИЙСКОЙ ФЕДЕРАЦИИ
Федеральное государственное бюджетное образовательное учреждение высшего образования
«Тамбовский государственный технический университет»</t>
  </si>
  <si>
    <r>
      <t xml:space="preserve">от  « </t>
    </r>
    <r>
      <rPr>
        <u/>
        <sz val="12"/>
        <color theme="1"/>
        <rFont val="Times New Roman"/>
        <family val="1"/>
        <charset val="204"/>
      </rPr>
      <t xml:space="preserve">       </t>
    </r>
    <r>
      <rPr>
        <sz val="12"/>
        <color theme="1"/>
        <rFont val="Times New Roman"/>
        <family val="1"/>
        <charset val="204"/>
      </rPr>
      <t xml:space="preserve"> » </t>
    </r>
    <r>
      <rPr>
        <u/>
        <sz val="12"/>
        <color theme="1"/>
        <rFont val="Times New Roman"/>
        <family val="1"/>
        <charset val="204"/>
      </rPr>
      <t xml:space="preserve">                           </t>
    </r>
    <r>
      <rPr>
        <sz val="12"/>
        <color theme="1"/>
        <rFont val="Times New Roman"/>
        <family val="1"/>
        <charset val="204"/>
      </rPr>
      <t xml:space="preserve"> 20 </t>
    </r>
    <r>
      <rPr>
        <u/>
        <sz val="12"/>
        <color theme="1"/>
        <rFont val="Times New Roman"/>
        <family val="1"/>
        <charset val="204"/>
      </rPr>
      <t xml:space="preserve">     </t>
    </r>
    <r>
      <rPr>
        <sz val="12"/>
        <color theme="1"/>
        <rFont val="Times New Roman"/>
        <family val="1"/>
        <charset val="204"/>
      </rPr>
      <t xml:space="preserve"> г.</t>
    </r>
  </si>
  <si>
    <t>заседания экзаменационной комиссии по приему кандидатского экзамена</t>
  </si>
  <si>
    <t>по дисциплине</t>
  </si>
  <si>
    <t>(наименование дисциплины)</t>
  </si>
  <si>
    <t>Прием кандидатского экзамена по научной специальности</t>
  </si>
  <si>
    <t>(шифр и наименование научной специальности, отрасль науки)</t>
  </si>
  <si>
    <t>/ Н.В. Медведев /</t>
  </si>
  <si>
    <t>АЗАУИ ДУБЛА БАЛЬТАЗАР</t>
  </si>
  <si>
    <t>БИН АЛЬШК АМАР МАДЖЕД АБДУЛЛА САИД</t>
  </si>
  <si>
    <t>АЛЬ-РАММАХИ АЛИ АБИДАЛКАРИМ ХАБИБ</t>
  </si>
  <si>
    <t>ОБАИД СААДУЛДИН САДАХ ОБАИД</t>
  </si>
  <si>
    <t>ОВАИДИ МОХАММЕД РАЗЗАК МУГИР</t>
  </si>
  <si>
    <t>ШАМСУЛДИН ХАЙДАР АБДУЛВАХАБ ХАБИБ</t>
  </si>
  <si>
    <t>АЛБАХРИ МОХАММЕД</t>
  </si>
  <si>
    <t>АЛЬГУРАБИ АВЖ АХМЕД МАХМУД</t>
  </si>
  <si>
    <t>ПРАВИН ПРАВИН КУМАР</t>
  </si>
  <si>
    <t>КАДУМ АЛИ ХУССЕЙН КАДУМ</t>
  </si>
  <si>
    <t>Павлинов Роман Юрьевич</t>
  </si>
  <si>
    <t>Азауи Дубла Бальтазар</t>
  </si>
  <si>
    <t>Ауад Марина Сами</t>
  </si>
  <si>
    <t>Бин Альшк Амар Маджед Абдулла Саид</t>
  </si>
  <si>
    <t>Горохов Тимофей Иванович</t>
  </si>
  <si>
    <t>Данилов Владислав Михайлович</t>
  </si>
  <si>
    <t>Обухов Иван Андреевич</t>
  </si>
  <si>
    <t>Матрохин Михаил Александрович</t>
  </si>
  <si>
    <t>Рачкова Светлана Анатольевна</t>
  </si>
  <si>
    <t>Санников Сергей Анатольевич</t>
  </si>
  <si>
    <t>Обаид Саадулдин Садах Обаид</t>
  </si>
  <si>
    <t>Аль-Хамами Омар Хашим Яхья</t>
  </si>
  <si>
    <t>Оваиди Мохаммед Раззак Мугир</t>
  </si>
  <si>
    <t>Шамсулдин Хайдар Абдулвахаб Хабиб</t>
  </si>
  <si>
    <t>Белевитин Виктор Андреевич</t>
  </si>
  <si>
    <t>Минаева Анастасия Николаевна</t>
  </si>
  <si>
    <t>Дмитриевцев Андрей Юрьевич</t>
  </si>
  <si>
    <t>Ерёмин Вадим Витальевич</t>
  </si>
  <si>
    <t>Лежнева Наталия Александровна</t>
  </si>
  <si>
    <t>Албахри Мохаммед</t>
  </si>
  <si>
    <t>Титова Полина Александровна</t>
  </si>
  <si>
    <t>Юдаев Виктор Алексеевич</t>
  </si>
  <si>
    <t>Медведева Анна Владимировна</t>
  </si>
  <si>
    <t>Нечай Андрей Андреевич</t>
  </si>
  <si>
    <t>Скоморохов Кирилл Викторович</t>
  </si>
  <si>
    <t>Черкашнев Данил Алексеевич</t>
  </si>
  <si>
    <t>Альгураби Авж Ахмед Махмуд</t>
  </si>
  <si>
    <t>Ковалев Роман Романович</t>
  </si>
  <si>
    <t>Коломоец Алексей Александрович</t>
  </si>
  <si>
    <t>Чумиков Юрий Анатольевич</t>
  </si>
  <si>
    <t>Хромова Татьяна Александровна</t>
  </si>
  <si>
    <t>Жабкина Инна Александровна</t>
  </si>
  <si>
    <t>Зуева Дарья Михайловна</t>
  </si>
  <si>
    <t>Меронюк Кирилл Иванович</t>
  </si>
  <si>
    <t>Тришина Александра Викторовна</t>
  </si>
  <si>
    <t>Черникова Ольга Вячеславовна</t>
  </si>
  <si>
    <t>Правин Правин Кумар</t>
  </si>
  <si>
    <t>Романова Елена Сергеевна</t>
  </si>
  <si>
    <t>Грачев Александр Сергеевич</t>
  </si>
  <si>
    <t>Кадум Али Хуссейн Кадум</t>
  </si>
  <si>
    <t>Пасько Анастасия Александровна</t>
  </si>
  <si>
    <t>Ящишин Николай Юрьевич</t>
  </si>
  <si>
    <t>Бурный Сергей Дмитриевич</t>
  </si>
  <si>
    <t>Выгузов Максим Евгеньевич</t>
  </si>
  <si>
    <t>Набоков Роман Викторович</t>
  </si>
  <si>
    <t>Кожухов Никита Алексеевич</t>
  </si>
  <si>
    <t>ПАВЛИНОВА РОМАНА ЮРЬЕВИЧА</t>
  </si>
  <si>
    <t>АУАД МАРИНУ САМИ</t>
  </si>
  <si>
    <t>ГОРОХОВА ТИМОФЕЯ ИВАНОВИЧА</t>
  </si>
  <si>
    <t>ДАНИЛОВА ВЛАДИСЛАВА МИХАЙЛОВИЧА</t>
  </si>
  <si>
    <t>ОБУХОВА ИВАНА АНДРЕЕВИЧА</t>
  </si>
  <si>
    <t>МАТРОХИНА МИХАИЛА АЛЕКСАНДРОВИЧА</t>
  </si>
  <si>
    <t>РАЧКОВУ СВЕТЛАНУ АНАТОЛЬЕВНУ</t>
  </si>
  <si>
    <t>САННИКОВА СЕРГЕЯ АНАТОЛЬЕВИЧА</t>
  </si>
  <si>
    <t>БЕЛЕВИТИНА ВИКТОРА АНДРЕЕВИЧА</t>
  </si>
  <si>
    <t>МИНАЕВУ АНАСТАСИЮ НИКОЛАЕВНУ</t>
  </si>
  <si>
    <t>ДМИТРИЕВЦЕВА АНДРЕЯ ЮРЬЕВИЧА</t>
  </si>
  <si>
    <t>ЕРЁМИНА ВАДИМА ВИТАЛЬЕВИЧА</t>
  </si>
  <si>
    <t>ЛЕЖНЕВУ НАТАЛИЮ АЛЕКСАНДРОВНУ</t>
  </si>
  <si>
    <t>ТИТОВУ ПОЛИНУ АЛЕКСАНДРОВНУ</t>
  </si>
  <si>
    <t>ЮДАЕВА ВИКТОРА АЛЕКСЕЕВИЧА</t>
  </si>
  <si>
    <t>МЕДВЕДЕВУ АННУ ВЛАДИМИРОВНУ</t>
  </si>
  <si>
    <t>НЕЧАЯ АНДРЕЯ АНДРЕЕВИЧА</t>
  </si>
  <si>
    <t>СКОМОРОХОВА КИРИЛЛА ВИКТОРОВИЧА</t>
  </si>
  <si>
    <t>ЧЕРКАШНЕВА ДАНИЛА АЛЕКСЕЕВИЧА</t>
  </si>
  <si>
    <t>КОВАЛЕВА РОМАНА РОМАНОВИЧА</t>
  </si>
  <si>
    <t>ЧУМИКОВА ЮРИЯ АНАТОЛЬЕВИЧА</t>
  </si>
  <si>
    <t>ХРОМОВУ ТАТЬЯНУ АЛЕКСАНДРОВНУ</t>
  </si>
  <si>
    <t>ЖАБКИНУ ИННУ АЛЕКСАНДРОВНУ</t>
  </si>
  <si>
    <t>ЗУЕВУ ДАРЬЮ МИХАЙЛОВНУ</t>
  </si>
  <si>
    <t>МЕРОНЮКА КИРИЛЛА ИВАНОВИЧА</t>
  </si>
  <si>
    <t>ТРИШИНУ АЛЕКСАНДРУ ВИКТОРОВНУ</t>
  </si>
  <si>
    <t>ЧЕРНИКОВУ ОЛЬГУ ВЯЧЕСЛАВОВНУ</t>
  </si>
  <si>
    <t>РОМАНОВУ ЕЛЕНУ СЕРГЕЕВНУ</t>
  </si>
  <si>
    <t>ГРАЧЕВА АЛЕКСАНДРА СЕРГЕЕВИЧА</t>
  </si>
  <si>
    <t>ПАСЬКО АНАСТАСИЮ АЛЕКСАНДРОВНУ</t>
  </si>
  <si>
    <t>ЯЩИШИНА НИКОЛАЯ ЮРЬЕВИЧА</t>
  </si>
  <si>
    <t>БУРНОГО СЕРГЕЯ ДМИТРИЕВИЧА</t>
  </si>
  <si>
    <t>ВЫГУЗОВА МАКСИМА ЕВГЕНЬЕВИЧА</t>
  </si>
  <si>
    <t>НАБОКОВА РОМАНА ВИКТОРОВИЧА</t>
  </si>
  <si>
    <t>КОЖУХОВА НИКИТУ АЛЕКСЕЕВИЧА</t>
  </si>
  <si>
    <t>1.4.6. Электрохимия, технические науки</t>
  </si>
  <si>
    <t>2.1.1. Строительные конструкции, здания и сооружения, технические науки</t>
  </si>
  <si>
    <t>2.1.5. Строительные материалы и изделия, технические науки</t>
  </si>
  <si>
    <t>2.1.8. Проектирование и строительство дорог, метрополитенов, аэродромов, мостов и транспортных тоннелей, технические науки</t>
  </si>
  <si>
    <t>2.3.1. Системный анализ, управление и обработка информации, технические науки</t>
  </si>
  <si>
    <t>2.3.3. Автоматизация и управление технологическими процессами и производствами, технические науки</t>
  </si>
  <si>
    <t>1.2.2. Математическое моделирование, численные методы и комплексы программ, технические науки</t>
  </si>
  <si>
    <t>2.2.11. Информационно-измерительные и управляющие системы, технические науки</t>
  </si>
  <si>
    <t>2.3.6. Методы и системы защиты информации, информационная безопасность, технические науки</t>
  </si>
  <si>
    <t>2.2.13. Радиотехника, в том числе системы и устройства телевидения, технические науки</t>
  </si>
  <si>
    <t>2.2.15. Системы, сети и устройства телекоммуникаций, технические науки</t>
  </si>
  <si>
    <t>2.2.8. Методы и приборы контроля и диагностики материалов, изделий, веществ и природной среды, технические науки</t>
  </si>
  <si>
    <t>2.2.12. Приборы, системы и изделия медицинского назначения, технические науки</t>
  </si>
  <si>
    <t>2.4.2. Электротехнические комплексы и системы, технические науки</t>
  </si>
  <si>
    <t>2.5.21. Машины, агрегаты и технологические процессы, технические науки</t>
  </si>
  <si>
    <t>2.6.9. Технология электрохимических процессов и защита от коррозии, технические науки</t>
  </si>
  <si>
    <t>2.6.13. Процессы и аппараты химических технологий, технические науки</t>
  </si>
  <si>
    <t>2.6.6. Нанотехнологии и наноматериалы, технические науки</t>
  </si>
  <si>
    <t>4.3.1. Технологии, машины и оборудование для агропромышленного комплекса, технические науки</t>
  </si>
  <si>
    <t>5.2.3. Региональная и отраслевая экономика, экономические науки</t>
  </si>
  <si>
    <t>5.5.2. Политические институты, процессы, технологии, политические науки</t>
  </si>
  <si>
    <t>5.6.1. Отечественная история, исторические науки</t>
  </si>
  <si>
    <t>Персидский Александр Владимирович</t>
  </si>
  <si>
    <t>ПЕРСИДСКОГО АЛЕКСАНДРА ВЛАДИМИРОВИЧА</t>
  </si>
  <si>
    <t>ХАНА ЮЛИАНА АЛЕКСАНДРОВИЧА</t>
  </si>
  <si>
    <t>ЧАПАКСОВА НИКОЛАЯ АНДРЕЕВИЧА</t>
  </si>
  <si>
    <t>«Иностранный язык» (английский)</t>
  </si>
  <si>
    <t>Макеева М.Н., доктор филологических наук, профессор, профессор кафедры «Иностранные языки и профессиональная коммуникация»</t>
  </si>
  <si>
    <t>/ М.Н. Макеева /</t>
  </si>
  <si>
    <t>Гунина Н.А., кандидат филологических наук, доцент, заведующая кафедрой «Иностранные языки и профессиональная коммуникация», заместитель председателя комиссии</t>
  </si>
  <si>
    <t>/ Н.А. Гунина /</t>
  </si>
  <si>
    <t>/ С.В. Пономарев /</t>
  </si>
  <si>
    <t>/ А.А. Третьяков /</t>
  </si>
  <si>
    <t>Пасько Т.В., кандидат технических наук, доцент, доцент кафедры «Техника и технологии производства нанопродуктов»</t>
  </si>
  <si>
    <t>/ Т.В. Пасько /</t>
  </si>
  <si>
    <t>/ А.Н. Пахомов /</t>
  </si>
  <si>
    <t>КОХ-ТАТАРЕНКО ВАДИМА СТАНИСЛАВОВИЧА</t>
  </si>
  <si>
    <t>/ Т.П. Дьячкова /</t>
  </si>
  <si>
    <t>/ В.И. Меньщикова /</t>
  </si>
  <si>
    <t>2.3.8. Информатика и информационные процессы, технические науки</t>
  </si>
  <si>
    <t>/ П.В. Монастырев /</t>
  </si>
  <si>
    <t>Алексеев В.В., доктор технических наук, профессор, заведующий кафедрой «Информационные системы и защита информации»</t>
  </si>
  <si>
    <t>/ В.В. Алексеев /</t>
  </si>
  <si>
    <t>/ В.Г. Мокрозуб /</t>
  </si>
  <si>
    <t>/ В.Я. Егоров /</t>
  </si>
  <si>
    <t>/ В.Г. Матвейкин /</t>
  </si>
  <si>
    <t>/ Б.С. Дмитриевский /</t>
  </si>
  <si>
    <t>Калинин В.Ф., доктор технических наук, профессор, профессор кафедры «Электроэнергетика»</t>
  </si>
  <si>
    <t>Кобелев А.В., кандидат технических наук, доцент, заведующий кафедрой «Электроэнергетика», заместитель председателя комиссии</t>
  </si>
  <si>
    <t>Дмитриевский Б.С., доктор технических наук,  профессор, профессор кафедры «Информационные процессы и управление», заместитель председателя комиссии</t>
  </si>
  <si>
    <t>/ А.Г. Ткачев /</t>
  </si>
  <si>
    <t>Бураков А.Е., кандидат технических наук, доцент, доцент  кафедры «Техника и технологии производства нанопродуктов»</t>
  </si>
  <si>
    <t>/ А.Е. Бураков /</t>
  </si>
  <si>
    <t>/ Е.Н. Туголуков /</t>
  </si>
  <si>
    <t>/ А.В. Прохоров /</t>
  </si>
  <si>
    <t>/ В.Б. Безгин /</t>
  </si>
  <si>
    <t>/ К.В. Самохин /</t>
  </si>
  <si>
    <t>/ В.Ф. Калинин /</t>
  </si>
  <si>
    <t>/ А.В. Кобелев /</t>
  </si>
  <si>
    <t>/ В.М. Иванов /</t>
  </si>
  <si>
    <t>/ Н.Ц. Гатапова /</t>
  </si>
  <si>
    <t>/ П.В. Балабанов /</t>
  </si>
  <si>
    <t>/ А.Г. Дивин /</t>
  </si>
  <si>
    <t>/ С.И. Лазарев /</t>
  </si>
  <si>
    <t>/ И.В. Зарапина /</t>
  </si>
  <si>
    <t>/ Ю.Ю. Громов /</t>
  </si>
  <si>
    <t>Тютюнник В.М., доктор технических наук, профессор, профессор кафедры «Конструирование радиоэлектронных и микропроцессорных систем»</t>
  </si>
  <si>
    <t>/ В.М. Тютюнник /</t>
  </si>
  <si>
    <t>Состав комиссии (утверждён приказом ректора университета № 91/1-08 от  24 мая 2022 г.)</t>
  </si>
  <si>
    <t>Хамуд Абдулсалам Ареф Абдулазиз</t>
  </si>
  <si>
    <t>Зарапина И.В., кандидат  химических наук, доцент, доцент кафедры «Химия и химические технологии»</t>
  </si>
  <si>
    <t>Карпов С.В., кандидат технических наук, доцент, доцент кафедры «Компьютерно-интегрированные системы в машиностроении»</t>
  </si>
  <si>
    <t>/ С.В. Карпов /</t>
  </si>
  <si>
    <t>/ В.Е. Дидрих /</t>
  </si>
  <si>
    <t>Данилов С.Н., доктор технических наук, профессор, профессор кафедры «Радиотехника»</t>
  </si>
  <si>
    <t>/ С.Н. Данилов /</t>
  </si>
  <si>
    <t>Кобелев А.В., кандидат технических наук, доцент, заведующий кафедрой «Электроэнергетика»</t>
  </si>
  <si>
    <t>Соколов М.В., доктор технических наук, доцент, профессор кафедры «Компьютерно-интегрированные системы в машиностроении»</t>
  </si>
  <si>
    <t>Прохоров А.В., кандидат технических наук, доцент, доцент кафедры «Агроинженерия»</t>
  </si>
  <si>
    <t>Санжаревский И.И., доктор политических наук, профессор, профессор кафедры «Теория и история государства и права»</t>
  </si>
  <si>
    <t>/ И.И. Санжаревский /</t>
  </si>
  <si>
    <t>/ М.В. Соколов /</t>
  </si>
  <si>
    <t>ХАМУД АБДУЛСАЛАМ АРЕФ АБДУЛАЗИЗ</t>
  </si>
  <si>
    <t xml:space="preserve">САРИ ФАРАХ АББАС ОБАИД </t>
  </si>
  <si>
    <t>АЛЬ-ХАМАМИ ОМАР ХАШИМ  ЯХЬЯ</t>
  </si>
  <si>
    <t>КОЛОМОЙЦА АЛЕКСЕЯ АЛЕКСАНДРОВИЧА</t>
  </si>
  <si>
    <t>Алейникова Кристина Андреевна</t>
  </si>
  <si>
    <t>8.00.10. Финансы, денежное обращение и кредит, экономические науки</t>
  </si>
  <si>
    <t>Туголуков Евгений Николаевич, доктор технических наук, профессор, профессор кафедры «Техника и технологии производства нанопродуктов»</t>
  </si>
  <si>
    <t>Рухов А.В., доктор технических наук, профессор, заведующий кафедрой «Химия и химические технологии»</t>
  </si>
  <si>
    <t>Дьячкова Т.П., доктор химических наук, профессор, профессор кафедры «техника и технология производства нанопродуктов», заместитель председателя комиссии</t>
  </si>
  <si>
    <t>Зарапина И.В., кандидат химических наук, доцент, доцент кафедры «Химия и  химические технологии»</t>
  </si>
  <si>
    <t>Монастырев П.В., доктор технических наук, доцент, директор института  архитектуры, строительства  и транспорта</t>
  </si>
  <si>
    <t>Умнова О.В., кандидат технических наук, доцент, заведующая кафедрой «Конструкции зданий и сооружений»</t>
  </si>
  <si>
    <t>Ерофеев А.В., кандидат технических наук, доцент, доцент кафедры «Конструкции зданий и сооружений» заместитель председателя комиссии</t>
  </si>
  <si>
    <t>Киселева О.А., кандидат технических наук, доцент, доцент кафедры «Конструкции зданий и сооружений»</t>
  </si>
  <si>
    <t>Мокрозуб В.Г. , доктор технических наук, профессор, зав. кафедрой «Компьютерно-интегрированные системы в машиностроении», заместитель председателя комиссии</t>
  </si>
  <si>
    <t>Матвейкин В.Г., доктор технических наук, профессор, заведующий кафедрой «Информационные процессы и управление»</t>
  </si>
  <si>
    <t>Алексеев В.В., доктор технических наук, профессор, заведующий кафедрой «Информационные системы и защита информации» заместитель председателя комиссии</t>
  </si>
  <si>
    <t>Иванов В.М., кандидат физико-математических, профессор, профессор кафедры «Электроэнергетика»</t>
  </si>
  <si>
    <t>Пудовкин А.П., доктор технических наук, профессор, заведующий кафедрой «Радиотехника»</t>
  </si>
  <si>
    <t>Данилов С.Н., доктор технических наук, профессор, профессор кафедры «Радиотехника», заместитель председателя комиссии</t>
  </si>
  <si>
    <t>Панасюк Ю.Н., к.т.н., доцент, доцент кафедры «Радиотехника»</t>
  </si>
  <si>
    <t>Балабанов П.В., доктор технических наук, доцент, заведующий кафедрой «Мехатроника и технологические измерения»</t>
  </si>
  <si>
    <t>Фролов С.В., доктор технических наук, профессор, заведующий кафедрой «Биомедицинская техника»</t>
  </si>
  <si>
    <t>Бондаренко Дмитрий Андреевич</t>
  </si>
  <si>
    <t>Скопинова Анастасия Владимировна</t>
  </si>
  <si>
    <t>Филиппов Данил  Владимирович</t>
  </si>
  <si>
    <t>Муромцев Д.Ю., доктор технических наук, профессор, проректор по  научной работе</t>
  </si>
  <si>
    <t>Ткачев А.Г., доктор технических наук, профессор, заведующий кафедрой «Техника и технологии производства нанопродуктов»</t>
  </si>
  <si>
    <t>Рухов А.В., доктор технических наук, доцент, заведующий кафедрой «Химия и химические технологии», заместитель председателя комиссии</t>
  </si>
  <si>
    <t>Лазарев С.И., доктор технических наук, профессор, директор   научно-                                                   образовательного центра в области безотходных и малоотходных технологий</t>
  </si>
  <si>
    <t>Гатапова Н.Ц., доктор технических наук, профессор, заведующая кафедрой «Технологические процессы, аппараты и техносферная безопасность»</t>
  </si>
  <si>
    <t>Злобина Н.В., доктор экономических наук, профессор, профессор кафедры «Экономическая безопасность и качество»</t>
  </si>
  <si>
    <t>Меньщикова В.И., кандидат экономических наук, доцент, заведующая кафедрой «Экономика», заместитель председателя комиссии</t>
  </si>
  <si>
    <t>Жариков Р.В., доктор экономических наук, доцент, профессор кафедры «Экономическая безопасность и качество»</t>
  </si>
  <si>
    <t>Куликов Н.И., доктор экономических наук, профессор, профессор кафедры «Экономика»</t>
  </si>
  <si>
    <t>Куликова М.А., кандидат экономических наук, доцент, доцент кафедры «Экономика»</t>
  </si>
  <si>
    <t>Слезин А.А., доктор исторических наук, профессор, зав. кафедрой «История и философия»</t>
  </si>
  <si>
    <t>Безгин В.Б., доктор исторических наук, профессор, профессор кафедры «История и философия», заместитель председателя комиссии</t>
  </si>
  <si>
    <t>Самохин К.В., кандидат исторических наук,  доцент, доцент кафедры «История и философия»</t>
  </si>
  <si>
    <t>/ А.В. Рухов /</t>
  </si>
  <si>
    <t>/ В.В. Леденев /</t>
  </si>
  <si>
    <t>/ О.В. Умнова /</t>
  </si>
  <si>
    <t>/ В.П. Ярцев /</t>
  </si>
  <si>
    <t>/ А.В. Ерофеев /</t>
  </si>
  <si>
    <t>/ О.А. Киселева /</t>
  </si>
  <si>
    <t>/ Ю.В. Литовка /</t>
  </si>
  <si>
    <t>/ С.В. Карпушкин /</t>
  </si>
  <si>
    <t>/ С.В. Фролов /</t>
  </si>
  <si>
    <t>/ С.Г. Проскурин /</t>
  </si>
  <si>
    <t>/ В.В. Дубровин /</t>
  </si>
  <si>
    <t>/ Д.Ю. Муромцев /</t>
  </si>
  <si>
    <t>/ З.М. Селиванова /</t>
  </si>
  <si>
    <t>/ В.И. Павлов /</t>
  </si>
  <si>
    <t>/ В.Ф. Першин /</t>
  </si>
  <si>
    <t>/ М.А. Промтов /</t>
  </si>
  <si>
    <t>/ О.А. Абоносимов /</t>
  </si>
  <si>
    <t>/ Н.В. Злобина /</t>
  </si>
  <si>
    <t>/ Н.И. Куликов /</t>
  </si>
  <si>
    <t>/ М.А. Куликова /</t>
  </si>
  <si>
    <t>/ Р.В. Жариков /</t>
  </si>
  <si>
    <t>/ А.П. Пудовкин /</t>
  </si>
  <si>
    <t>/ Ю.Н. Панасюк /</t>
  </si>
  <si>
    <t>АЛЬ-АМЕРИ САДЖА НАФЕА МОХСИН</t>
  </si>
  <si>
    <t>РУХОВА АНТОНА ВИКТОРОВИЧА</t>
  </si>
  <si>
    <t>КЕЙТА ЯЯ</t>
  </si>
  <si>
    <t>ХАЙДАР ФАРИС</t>
  </si>
  <si>
    <t>КУЗНЕЦОВА ВЛАДИСЛАВА АНДРЕЕВИЧА</t>
  </si>
  <si>
    <t>СЕЛЕЗНЕВА АРТЕМА ДЕНИСОВИЧА</t>
  </si>
  <si>
    <t>МАРТЬЯНОВА ЕВГЕНИЯ ИГОРЕВИЧА</t>
  </si>
  <si>
    <t>АЛЕЙНИКОВУ КРИСТИНУ АНДРЕЕВНУ</t>
  </si>
  <si>
    <t>ЭЛЬ ЭИССАВИ БАДР ХАЛИЛ МАХМУД</t>
  </si>
  <si>
    <t>ДЕЯБ АЛИ АБДУЛСАХИБ ДЕЯБ</t>
  </si>
  <si>
    <t>АЛЬ КНФЕР САМЕР НАХИ АЛЬВАН</t>
  </si>
  <si>
    <t>НСЕНО-ПЕМБИ ДОН-ЮНИ</t>
  </si>
  <si>
    <t>БАННИКОВА АНДРЕЯ АЛЕКСЕЕВИЧА</t>
  </si>
  <si>
    <t>ВАСИЛЕВСКОГО КОНСТАНТИНА СЕРГЕЕВИЧА</t>
  </si>
  <si>
    <t>ПЧЕЛИНЦЕВУ ИРИНУ ЮРЬЕВНУ</t>
  </si>
  <si>
    <t>АБД АЛХАДИ ХЕДР</t>
  </si>
  <si>
    <t>АЛЬ КАРКХИ МУСТАФА МОХАММЕД САКРАН</t>
  </si>
  <si>
    <t>НЕПРОКИНА АЛЕКСЕЯ ВЛАДИМИРОВИЧА</t>
  </si>
  <si>
    <t>СУСТИНА АЛЕКСАНДРА ИВАНОВИЧА</t>
  </si>
  <si>
    <t>ЛОСКУТОВУ АННУ ДАВИДОВНУ</t>
  </si>
  <si>
    <t>НЕБЫВАЕВА АРТЕМИЯ ВЯЧЕСЛАВОВИЧА</t>
  </si>
  <si>
    <t>КУЛИКОВА РОМАНА АНДРЕЕВИЧА</t>
  </si>
  <si>
    <t>БОНДАРЕНКО ДМИТРИЯ АНДРЕЕВИЧА</t>
  </si>
  <si>
    <t>СКОПИНОВУ АНАСТАСИЮ ВЛАДИМИРОВНУ</t>
  </si>
  <si>
    <t>ФИЛИППОВА ДАНИЛА ВЛАДИМИРОВИЧА</t>
  </si>
  <si>
    <t>БЕЛАРУССИ УССАМА</t>
  </si>
  <si>
    <t>ЗАЙЦЕВА ИГОРЯ АНАТОЛЬЕВИЧА</t>
  </si>
  <si>
    <t>КУРНОСОВА ДМИТРИЯ АЛЕКСАНДРОВИЧА</t>
  </si>
  <si>
    <t>МАНСУР ВАСЕМ</t>
  </si>
  <si>
    <t>БАИТИ АДЕЛЬ</t>
  </si>
  <si>
    <t>КОТЕНЕВА СЕРГЕЯ ИГОРЕВИЧА</t>
  </si>
  <si>
    <t>ЛАЗАРЕВА ДМИТРИЯ СЕРГЕЕВИЧА</t>
  </si>
  <si>
    <t>ЛУА ПЕПЕ</t>
  </si>
  <si>
    <t>ЕСЬКОВА ВЛАДИМИРА АЛЕКСАНДРОВИЧА</t>
  </si>
  <si>
    <t>МКРТЧЯН ЭЛИНУ СААКОВНУ</t>
  </si>
  <si>
    <t>УСТИНСКУЮ ЯНУ ВИТАЛЬЕВНУ</t>
  </si>
  <si>
    <t>АЛЬ-БАИРМАНИ АЛИ ТАИР РАХИМ</t>
  </si>
  <si>
    <t>АЛЬ-ХАЛИДИ МУСТАФА ТАМЕР АЛИ</t>
  </si>
  <si>
    <t>ЭЗЗЕДДИН БАХАА</t>
  </si>
  <si>
    <t>КАЛАШНИКОВА ПАВЛА ОЛЕГОВИЧА</t>
  </si>
  <si>
    <t>ШУСТОВУ ВЕРУ НИКОЛАЕВНУ</t>
  </si>
  <si>
    <t>ПОДЛЕСНОВА ВЛАДИМИРА ИЛЬИЧА</t>
  </si>
  <si>
    <t>4.3.1 Технологии, машины и оборудование для агропромышленного комплекса</t>
  </si>
  <si>
    <t>Медведев Н.В., доктор философских наук, профессор, профессор кафедры «История и философия» ФГБОУ ВО ТГУ им. Г.Р. Державина</t>
  </si>
  <si>
    <t>Вязинкин А.Ю., кандидат философских наук, доцент, доцент кафедры «История и философия», заместитель председателя комиссии</t>
  </si>
  <si>
    <t>Член комиссии</t>
  </si>
  <si>
    <t>Кирякин А. В., кандидат философских наук, доцент кафедры «История и философия»</t>
  </si>
  <si>
    <t>/ А.В. Кирякин /</t>
  </si>
  <si>
    <t>Агапонов Дмитрий Анатольевич</t>
  </si>
  <si>
    <t>АГАПОНОВА ДМИТРИЯ АНАТОЛЬЕВИЧА</t>
  </si>
  <si>
    <t>Состав комиссии (утверждён приказом ректора университета № 1/3-08 от 12 января 2026 г.)</t>
  </si>
  <si>
    <t>НАПРАВЛЕНИЕ</t>
  </si>
  <si>
    <t>Состав комиссии (утверждён приказом ректора университета № 104/4-08 от 10 июня 2024 г.)</t>
  </si>
  <si>
    <t>АНТОНОВА ЕВГЕНИЯ АНДРЕЕВИЧА</t>
  </si>
  <si>
    <t>ВОРОНКОВА РОМАНА ВЯЧЕСЛАВОВИЧА</t>
  </si>
  <si>
    <t>ГРИГОРЬЕВА АНДРЕЯ АЛЕКСЕЕВИЧА</t>
  </si>
  <si>
    <t>ДОЛГОВА ЕГОРА ПАВЛОВИЧА</t>
  </si>
  <si>
    <t>ЗВЕРЕВА МИХАИЛА ВАСИЛЬЕВИЧА</t>
  </si>
  <si>
    <t>КОНЕВА АНДРЕЯ ЮРЬЕВИЧА</t>
  </si>
  <si>
    <t>КОНЬКОВА ИЛЬЮ АЛЕКСЕЕВИЧА</t>
  </si>
  <si>
    <t>КРЫЛОВА АЛЕКСЕЯ ВИКТОРОВИЧА</t>
  </si>
  <si>
    <t>ЛИШНИХ МИХАИЛА АЛЕКСЕЕВИЧА</t>
  </si>
  <si>
    <t>АЛЬ СУДАНИ ЗАЙД АЛИ ХУССЕЙН</t>
  </si>
  <si>
    <t>Информатика и информационные процессы</t>
  </si>
  <si>
    <t>Минин Ю.В., кандидат технических наук, доцент, доцент кафедры «Информационные системы и защита информации»</t>
  </si>
  <si>
    <t>/ Ю.В. Минин /</t>
  </si>
  <si>
    <t>Аль Судани Зайд Али Хуссейн</t>
  </si>
  <si>
    <t>2.3.8. Информатика и информационные процессы (технические науки)</t>
  </si>
  <si>
    <t>Пудовкин А.П., доктор технических наук, профессор, зав. кафедрой «Радиотехника»</t>
  </si>
  <si>
    <t>Иванов А.В., доктор технических наук, профессор, профессор кафедры «Радиотехника»</t>
  </si>
  <si>
    <t>/ А.В. Иванов /</t>
  </si>
  <si>
    <t>Антонов Евгений Андреевич</t>
  </si>
  <si>
    <t>2.2.13. Радиотехника, в том числе системы и устройства телевидения (технические науки)</t>
  </si>
  <si>
    <t>Гатапова Н.Ц., доктор технических наук, профессор, зав. кафедрой «Технологические процессы, аппараты и техносферная безопасность»</t>
  </si>
  <si>
    <t>Туголуков Е.Н., доктор технических наук, профессор, профессор кафедры «Техника и технологии производства нанопродуктов»</t>
  </si>
  <si>
    <t>2.6.13. Процессы и аппараты химических технологий (технические науки)</t>
  </si>
  <si>
    <t>Дмитриевский Б.С., доктор технических наук, профессор, профессор кафедры «Информационные процессы и управление»</t>
  </si>
  <si>
    <t>Воронков Роман Вячеславович</t>
  </si>
  <si>
    <t>2.3.3. Автоматизация и управление технологическими процессами и производствами (технические науки)</t>
  </si>
  <si>
    <t>Теоретико-исторические правовые науки</t>
  </si>
  <si>
    <t>Працко Г.С., доктор юридических наук, профессор, профессор кафедры «Теория и история государства и права»</t>
  </si>
  <si>
    <t>/ Г.С. Працко /</t>
  </si>
  <si>
    <t>Марченко А.Н., кандидат юридических наук, доцент, доцент кафедры «Гражданское право и процесс»</t>
  </si>
  <si>
    <t>/ А.Н. Марченко /</t>
  </si>
  <si>
    <t>Пугина О.А., кандидат юридических наук, доцент, доцент кафедры «Теория и история государства и права»</t>
  </si>
  <si>
    <t>/ О.А. Пугина /</t>
  </si>
  <si>
    <t>Григорьев Андрей Алексеевич</t>
  </si>
  <si>
    <t>5.1.1. Теоретико-исторические правовые науки (юридические науки)</t>
  </si>
  <si>
    <t>Проскурин С.Г., доктор технических наук, доцент, профессор кафедры «Биомедицинская техника»</t>
  </si>
  <si>
    <t>Долгов Егор Павлович</t>
  </si>
  <si>
    <t>2.2.12. Приборы, системы и изделия медицинского назначения (технические науки)</t>
  </si>
  <si>
    <t>Методы и приборы контроля и диагностики материалов, изделий, веществ и природной среды</t>
  </si>
  <si>
    <t>Балабанов П.В., доктор технических наук, доцент, зав. кафедрой «Мехатроника и технологические измерения»</t>
  </si>
  <si>
    <t>Дивин А.Г., доктор технических наук, профессор, профессор кафедры «Мехатроника и технологические измерения»</t>
  </si>
  <si>
    <t>Зверев Михаил Васильевич</t>
  </si>
  <si>
    <t>2.2.8. Методы и приборы контроля и диагностики материалов, изделий, веществ и природной среды (технические науки)</t>
  </si>
  <si>
    <t>Технологии, машины и оборудование для агропромышленного комплекса</t>
  </si>
  <si>
    <t>Ведищев С.М., доктор технических наук, профессор, зав. кафедрой «Агроинженерия»</t>
  </si>
  <si>
    <t>/ С.М. Ведищев /</t>
  </si>
  <si>
    <t>Брусенков А.В., кандидат технических наук, доцент, доцент кафедры «Агроинженерия»</t>
  </si>
  <si>
    <t>/ А.В. Брусенков /</t>
  </si>
  <si>
    <t>Конев Андрей Юрьевич</t>
  </si>
  <si>
    <t>4.3.1. Технологии, машины и оборудование для агропромышленного комплекса (технические науки)</t>
  </si>
  <si>
    <t>Коньков Илья Алексеевич</t>
  </si>
  <si>
    <t>Лазарев С.И., доктор технических наук, профессор, директор научно-образовательного центра в области безотходных и малоотходных технологий</t>
  </si>
  <si>
    <t>Абоносимов О.А., доктор технических наук, доцент, научный сотрудник научно-образовательного центра в области безотходных и малоотходных технологий</t>
  </si>
  <si>
    <t>Крылов Алексей Викторович</t>
  </si>
  <si>
    <t>2.6.9. Технология электрохимических процессов и защита от коррозии (технические науки)</t>
  </si>
  <si>
    <t>Буракова Е.А, доктор технических наук, доцент, доцент кафедры «Техника и технологии производства нанопродуктов»</t>
  </si>
  <si>
    <t>/  Е.А Буракова /</t>
  </si>
  <si>
    <t>Лишних Михаил Алексеевич</t>
  </si>
  <si>
    <t>2.6.6. Нанотехнологии и наноматериалы (технические науки)</t>
  </si>
  <si>
    <t>Эльбилтаджи Махмуд Хатим Саид Ахмед Абдил Халим</t>
  </si>
  <si>
    <t>ЭЛЬБИЛТАДЖИ МАХМУД ХАТИМ САИД АХМЕД АБДИЛ ХАЛИМ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</si>
</sst>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204"/>
      <scheme val="minor"/>
    </font>
    <font>
      <sz val="12"/>
      <color theme="1"/>
      <name val="Times New Roman"/>
      <family val="1"/>
      <charset val="204"/>
    </font>
    <font>
      <b/>
      <sz val="12"/>
      <color theme="1"/>
      <name val="Times New Roman"/>
      <family val="1"/>
      <charset val="204"/>
    </font>
    <font>
      <sz val="9"/>
      <color theme="1"/>
      <name val="Times New Roman"/>
      <family val="1"/>
      <charset val="204"/>
    </font>
    <font>
      <i/>
      <sz val="9"/>
      <color theme="1"/>
      <name val="Times New Roman"/>
      <family val="1"/>
      <charset val="204"/>
    </font>
    <font>
      <u/>
      <sz val="12"/>
      <color theme="1"/>
      <name val="Times New Roman"/>
      <family val="1"/>
      <charset val="204"/>
    </font>
    <font>
      <sz val="11"/>
      <color theme="1"/>
      <name val="Calibri"/>
      <family val="2"/>
      <charset val="204"/>
      <scheme val="minor"/>
    </font>
    <font>
      <sz val="11"/>
      <color rgb="FF9C0006"/>
      <name val="Calibri"/>
      <family val="2"/>
      <charset val="204"/>
      <scheme val="minor"/>
    </font>
    <font>
      <b/>
      <sz val="11"/>
      <color theme="1"/>
      <name val="Calibri"/>
      <family val="2"/>
      <charset val="204"/>
      <scheme val="minor"/>
    </font>
    <font>
      <sz val="14"/>
      <color theme="1"/>
      <name val="Times New Roman"/>
      <family val="1"/>
      <charset val="204"/>
    </font>
    <font>
      <b/>
      <sz val="14"/>
      <color theme="1"/>
      <name val="Times New Roman"/>
      <family val="1"/>
      <charset val="204"/>
    </font>
    <font>
      <sz val="11"/>
      <color theme="1"/>
      <name val="Times New Roman"/>
      <family val="1"/>
      <charset val="204"/>
    </font>
    <font>
      <b/>
      <sz val="14"/>
      <color theme="1"/>
      <name val="Calibri"/>
      <family val="2"/>
      <charset val="204"/>
      <scheme val="minor"/>
    </font>
    <font>
      <sz val="14"/>
      <color theme="1"/>
      <name val="Calibri"/>
      <family val="2"/>
      <charset val="204"/>
      <scheme val="minor"/>
    </font>
    <font>
      <sz val="10"/>
      <name val="Arial Cyr"/>
      <charset val="204"/>
    </font>
    <font>
      <sz val="14"/>
      <name val="Calibri"/>
      <family val="2"/>
      <charset val="204"/>
      <scheme val="minor"/>
    </font>
    <font>
      <sz val="10"/>
      <color rgb="FF000000"/>
      <name val="Times New Roman"/>
      <family val="1"/>
      <charset val="204"/>
    </font>
    <font>
      <sz val="12"/>
      <color theme="1"/>
      <name val="Calibri"/>
      <family val="2"/>
      <charset val="204"/>
      <scheme val="minor"/>
    </font>
    <font>
      <sz val="12"/>
      <color rgb="FF9C0006"/>
      <name val="Calibri"/>
      <family val="2"/>
      <charset val="204"/>
      <scheme val="minor"/>
    </font>
    <font>
      <b/>
      <sz val="12"/>
      <color theme="1"/>
      <name val="Calibri"/>
      <family val="2"/>
      <charset val="204"/>
      <scheme val="minor"/>
    </font>
    <font>
      <b/>
      <sz val="11"/>
      <color rgb="FF9C0006"/>
      <name val="Calibri"/>
      <family val="2"/>
      <charset val="204"/>
      <scheme val="minor"/>
    </font>
    <font>
      <sz val="14"/>
      <color rgb="FF000000"/>
      <name val="Calibri"/>
      <family val="2"/>
      <charset val="204"/>
    </font>
    <font>
      <sz val="14"/>
      <color rgb="FFFF0000"/>
      <name val="Calibri"/>
      <family val="2"/>
      <charset val="204"/>
      <scheme val="minor"/>
    </font>
    <font>
      <i/>
      <sz val="8"/>
      <color theme="1"/>
      <name val="Times New Roman"/>
      <family val="1"/>
      <charset val="204"/>
    </font>
    <font>
      <b/>
      <sz val="14"/>
      <color theme="0"/>
      <name val="Times New Roman"/>
      <family val="1"/>
      <charset val="204"/>
    </font>
    <font>
      <u/>
      <sz val="14"/>
      <color theme="1"/>
      <name val="Times New Roman"/>
      <family val="1"/>
      <charset val="204"/>
    </font>
    <font>
      <sz val="11"/>
      <color rgb="FFFF0000"/>
      <name val="Calibri"/>
      <family val="2"/>
      <charset val="204"/>
      <scheme val="minor"/>
    </font>
    <font>
      <i/>
      <sz val="12"/>
      <color theme="1"/>
      <name val="Times New Roman"/>
      <family val="1"/>
      <charset val="204"/>
    </font>
    <font>
      <i/>
      <sz val="11"/>
      <color rgb="FFFF0000"/>
      <name val="Calibri"/>
      <family val="2"/>
      <charset val="204"/>
      <scheme val="minor"/>
    </font>
    <font>
      <sz val="12"/>
      <name val="Times New Roman"/>
      <family val="1"/>
      <charset val="204"/>
    </font>
  </fonts>
  <fills count="7">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theme="2"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s>
  <cellStyleXfs count="7">
    <xf numFmtId="0" fontId="0" fillId="0" borderId="0"/>
    <xf numFmtId="0" fontId="7" fillId="2" borderId="0" applyNumberFormat="0" applyBorder="0" applyAlignment="0" applyProtection="0"/>
    <xf numFmtId="0" fontId="14" fillId="0" borderId="0"/>
    <xf numFmtId="0" fontId="16"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cellStyleXfs>
  <cellXfs count="135">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horizontal="justify" vertical="center"/>
    </xf>
    <xf numFmtId="0" fontId="1" fillId="0" borderId="0" xfId="0" applyFont="1" applyAlignment="1">
      <alignment vertical="center"/>
    </xf>
    <xf numFmtId="0" fontId="5" fillId="0" borderId="0" xfId="0" applyFont="1" applyAlignment="1">
      <alignment vertical="center"/>
    </xf>
    <xf numFmtId="0" fontId="0" fillId="0" borderId="0" xfId="0" applyAlignment="1">
      <alignment wrapText="1"/>
    </xf>
    <xf numFmtId="0" fontId="1" fillId="0" borderId="0" xfId="0" applyFont="1" applyAlignment="1">
      <alignment horizontal="right"/>
    </xf>
    <xf numFmtId="0" fontId="4" fillId="0" borderId="0" xfId="0" applyFont="1" applyAlignment="1">
      <alignment horizontal="right" vertical="top"/>
    </xf>
    <xf numFmtId="0" fontId="9" fillId="0" borderId="0" xfId="0" applyFont="1" applyAlignment="1">
      <alignment vertical="center" wrapText="1"/>
    </xf>
    <xf numFmtId="0" fontId="9" fillId="0" borderId="0" xfId="0" applyFont="1"/>
    <xf numFmtId="0" fontId="9"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Alignment="1">
      <alignment horizontal="center" vertical="center" wrapText="1"/>
    </xf>
    <xf numFmtId="0" fontId="13" fillId="0" borderId="1" xfId="0" applyFont="1" applyBorder="1" applyAlignment="1">
      <alignment horizontal="center" vertical="center" wrapText="1"/>
    </xf>
    <xf numFmtId="0" fontId="15" fillId="0" borderId="1" xfId="2" applyFont="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xf>
    <xf numFmtId="0" fontId="13" fillId="0" borderId="0" xfId="0" applyFont="1"/>
    <xf numFmtId="0" fontId="17" fillId="0" borderId="0" xfId="0" applyFont="1" applyAlignment="1">
      <alignment horizontal="center" vertical="center"/>
    </xf>
    <xf numFmtId="0" fontId="18" fillId="2" borderId="1" xfId="1" applyFont="1" applyBorder="1" applyAlignment="1">
      <alignment horizontal="center" vertical="center" wrapText="1"/>
    </xf>
    <xf numFmtId="0" fontId="13" fillId="0" borderId="0" xfId="0" applyFont="1" applyAlignment="1">
      <alignment horizontal="center" vertical="center" wrapText="1"/>
    </xf>
    <xf numFmtId="0" fontId="19" fillId="0" borderId="1" xfId="0" applyFont="1" applyBorder="1" applyAlignment="1">
      <alignment horizontal="center" vertical="center" wrapText="1"/>
    </xf>
    <xf numFmtId="0" fontId="17" fillId="0" borderId="0" xfId="0" applyFont="1"/>
    <xf numFmtId="0" fontId="8" fillId="0" borderId="0" xfId="0" applyFont="1"/>
    <xf numFmtId="49" fontId="19" fillId="0" borderId="1" xfId="0" applyNumberFormat="1" applyFont="1" applyBorder="1" applyAlignment="1">
      <alignment horizontal="center" vertical="center" wrapText="1"/>
    </xf>
    <xf numFmtId="49" fontId="18" fillId="2" borderId="1" xfId="1" applyNumberFormat="1" applyFont="1" applyBorder="1" applyAlignment="1">
      <alignment horizontal="center" vertical="center" wrapText="1"/>
    </xf>
    <xf numFmtId="49" fontId="17" fillId="0" borderId="0" xfId="0" applyNumberFormat="1" applyFont="1" applyAlignment="1">
      <alignment horizontal="center" vertical="center" wrapText="1"/>
    </xf>
    <xf numFmtId="0" fontId="17" fillId="0" borderId="0" xfId="0" applyFont="1" applyAlignment="1">
      <alignment horizontal="center" vertical="center" wrapText="1"/>
    </xf>
    <xf numFmtId="0" fontId="8" fillId="0" borderId="1" xfId="0" applyFont="1" applyBorder="1" applyAlignment="1">
      <alignment horizontal="center" vertical="center" textRotation="90" wrapText="1"/>
    </xf>
    <xf numFmtId="0" fontId="0" fillId="0" borderId="1" xfId="0" applyBorder="1" applyAlignment="1">
      <alignment horizontal="center" vertical="center" textRotation="90" wrapText="1"/>
    </xf>
    <xf numFmtId="0" fontId="13" fillId="0" borderId="0" xfId="0" applyFont="1" applyAlignment="1">
      <alignment horizontal="center" vertical="center" textRotation="90" wrapText="1"/>
    </xf>
    <xf numFmtId="0" fontId="13" fillId="0" borderId="0" xfId="0" applyFont="1" applyAlignment="1">
      <alignment wrapText="1"/>
    </xf>
    <xf numFmtId="0" fontId="12" fillId="0" borderId="0" xfId="0" applyFont="1" applyAlignment="1">
      <alignment horizontal="center" vertical="center" wrapText="1"/>
    </xf>
    <xf numFmtId="0" fontId="13" fillId="0" borderId="0" xfId="0" applyFont="1" applyAlignment="1">
      <alignment horizontal="center" wrapText="1"/>
    </xf>
    <xf numFmtId="0" fontId="0" fillId="0" borderId="0" xfId="0" applyAlignment="1">
      <alignment horizontal="center" vertical="center"/>
    </xf>
    <xf numFmtId="49" fontId="0" fillId="0" borderId="0" xfId="0" applyNumberFormat="1" applyAlignment="1">
      <alignment horizontal="center" vertical="center"/>
    </xf>
    <xf numFmtId="0" fontId="13" fillId="0" borderId="1" xfId="1" applyFont="1" applyFill="1" applyBorder="1" applyAlignment="1">
      <alignment horizontal="center" vertical="center" wrapText="1"/>
    </xf>
    <xf numFmtId="0" fontId="0" fillId="0" borderId="0" xfId="0" applyAlignment="1">
      <alignment horizontal="center"/>
    </xf>
    <xf numFmtId="0" fontId="7" fillId="2" borderId="1" xfId="1" applyBorder="1" applyAlignment="1">
      <alignment horizontal="center" vertical="center" textRotation="90" wrapText="1"/>
    </xf>
    <xf numFmtId="0" fontId="6" fillId="3" borderId="1" xfId="4" applyBorder="1" applyAlignment="1">
      <alignment horizontal="center" vertical="center" textRotation="90" wrapText="1"/>
    </xf>
    <xf numFmtId="0" fontId="6" fillId="5" borderId="1" xfId="6" applyBorder="1" applyAlignment="1">
      <alignment horizontal="center" vertical="center" textRotation="90" wrapText="1"/>
    </xf>
    <xf numFmtId="0" fontId="6" fillId="4" borderId="1" xfId="5" applyBorder="1" applyAlignment="1">
      <alignment horizontal="center" vertical="center" textRotation="90" wrapText="1"/>
    </xf>
    <xf numFmtId="0" fontId="8" fillId="3" borderId="1" xfId="4" applyFont="1" applyBorder="1" applyAlignment="1">
      <alignment horizontal="center" vertical="center" textRotation="90" wrapText="1"/>
    </xf>
    <xf numFmtId="0" fontId="20" fillId="2" borderId="1" xfId="1" applyFont="1" applyBorder="1" applyAlignment="1">
      <alignment horizontal="center" vertical="center" textRotation="90" wrapText="1"/>
    </xf>
    <xf numFmtId="0" fontId="8" fillId="5" borderId="1" xfId="6" applyFont="1" applyBorder="1" applyAlignment="1">
      <alignment horizontal="center" vertical="center" textRotation="90" wrapText="1"/>
    </xf>
    <xf numFmtId="0" fontId="8" fillId="4" borderId="1" xfId="5" applyFont="1" applyBorder="1" applyAlignment="1">
      <alignment horizontal="center" vertical="center" textRotation="90" wrapText="1"/>
    </xf>
    <xf numFmtId="0" fontId="0" fillId="0" borderId="0" xfId="0" applyAlignment="1">
      <alignment horizontal="center" wrapText="1"/>
    </xf>
    <xf numFmtId="0" fontId="7" fillId="2" borderId="0" xfId="1" applyAlignment="1">
      <alignment horizontal="center" vertical="center" wrapText="1"/>
    </xf>
    <xf numFmtId="0" fontId="0" fillId="5" borderId="1" xfId="6" applyFont="1" applyBorder="1" applyAlignment="1">
      <alignment horizontal="center" vertical="center" textRotation="90" wrapText="1"/>
    </xf>
    <xf numFmtId="0" fontId="8" fillId="0" borderId="0" xfId="0" applyFont="1" applyAlignment="1">
      <alignment horizontal="center" wrapText="1"/>
    </xf>
    <xf numFmtId="0" fontId="13" fillId="0" borderId="1" xfId="0" applyFont="1" applyBorder="1" applyAlignment="1">
      <alignment horizontal="center" wrapText="1"/>
    </xf>
    <xf numFmtId="0" fontId="15" fillId="0" borderId="1" xfId="0" applyFont="1" applyBorder="1" applyAlignment="1">
      <alignment horizontal="center" wrapText="1"/>
    </xf>
    <xf numFmtId="0" fontId="21" fillId="0" borderId="0" xfId="0" applyFont="1" applyAlignment="1">
      <alignment horizontal="center" vertical="center" wrapText="1"/>
    </xf>
    <xf numFmtId="0" fontId="21" fillId="0" borderId="7" xfId="0" applyFont="1" applyBorder="1" applyAlignment="1">
      <alignment horizontal="center" vertical="center" wrapText="1"/>
    </xf>
    <xf numFmtId="0" fontId="7" fillId="2" borderId="6" xfId="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0" fillId="0" borderId="2" xfId="0" applyBorder="1" applyAlignment="1">
      <alignment horizontal="center" vertical="center" textRotation="90" wrapText="1"/>
    </xf>
    <xf numFmtId="0" fontId="6" fillId="3" borderId="2" xfId="4" applyBorder="1" applyAlignment="1">
      <alignment horizontal="center" vertical="center" textRotation="90" wrapText="1"/>
    </xf>
    <xf numFmtId="0" fontId="7" fillId="2" borderId="2" xfId="1" applyBorder="1" applyAlignment="1">
      <alignment horizontal="center" vertical="center" textRotation="90" wrapText="1"/>
    </xf>
    <xf numFmtId="0" fontId="6" fillId="5" borderId="2" xfId="6" applyBorder="1" applyAlignment="1">
      <alignment horizontal="center" vertical="center" textRotation="90" wrapText="1"/>
    </xf>
    <xf numFmtId="0" fontId="0" fillId="5" borderId="2" xfId="6" applyFont="1" applyBorder="1" applyAlignment="1">
      <alignment horizontal="center" vertical="center" textRotation="90" wrapText="1"/>
    </xf>
    <xf numFmtId="0" fontId="6" fillId="4" borderId="2" xfId="5" applyBorder="1" applyAlignment="1">
      <alignment horizontal="center" vertical="center" textRotation="90" wrapText="1"/>
    </xf>
    <xf numFmtId="0" fontId="0" fillId="0" borderId="3" xfId="0" applyBorder="1" applyAlignment="1">
      <alignment horizontal="center" vertical="center" textRotation="90" wrapText="1"/>
    </xf>
    <xf numFmtId="0" fontId="6" fillId="3" borderId="3" xfId="4" applyBorder="1" applyAlignment="1">
      <alignment horizontal="center" vertical="center" textRotation="90" wrapText="1"/>
    </xf>
    <xf numFmtId="0" fontId="7" fillId="2" borderId="3" xfId="1" applyBorder="1" applyAlignment="1">
      <alignment horizontal="center" vertical="center" textRotation="90" wrapText="1"/>
    </xf>
    <xf numFmtId="0" fontId="6" fillId="5" borderId="3" xfId="6" applyBorder="1" applyAlignment="1">
      <alignment horizontal="center" vertical="center" textRotation="90" wrapText="1"/>
    </xf>
    <xf numFmtId="0" fontId="0" fillId="5" borderId="3" xfId="6" applyFont="1" applyBorder="1" applyAlignment="1">
      <alignment horizontal="center" vertical="center" textRotation="90" wrapText="1"/>
    </xf>
    <xf numFmtId="0" fontId="6" fillId="4" borderId="3" xfId="5" applyBorder="1" applyAlignment="1">
      <alignment horizontal="center" vertical="center" textRotation="90" wrapText="1"/>
    </xf>
    <xf numFmtId="0" fontId="0" fillId="0" borderId="9" xfId="0" applyBorder="1" applyAlignment="1">
      <alignment horizontal="center" vertical="center" textRotation="90" wrapText="1"/>
    </xf>
    <xf numFmtId="0" fontId="6" fillId="3" borderId="10" xfId="4" applyBorder="1" applyAlignment="1">
      <alignment horizontal="center" vertical="center" textRotation="90" wrapText="1"/>
    </xf>
    <xf numFmtId="0" fontId="0" fillId="0" borderId="11" xfId="0" applyBorder="1" applyAlignment="1">
      <alignment wrapText="1"/>
    </xf>
    <xf numFmtId="0" fontId="7" fillId="2" borderId="10" xfId="1" applyBorder="1" applyAlignment="1">
      <alignment horizontal="center" vertical="center" textRotation="90" wrapText="1"/>
    </xf>
    <xf numFmtId="0" fontId="6" fillId="5" borderId="10" xfId="6" applyBorder="1" applyAlignment="1">
      <alignment horizontal="center" vertical="center" textRotation="90" wrapText="1"/>
    </xf>
    <xf numFmtId="0" fontId="0" fillId="5" borderId="10" xfId="6" applyFont="1" applyBorder="1" applyAlignment="1">
      <alignment horizontal="center" vertical="center" textRotation="90" wrapText="1"/>
    </xf>
    <xf numFmtId="0" fontId="6" fillId="4" borderId="10" xfId="5" applyBorder="1" applyAlignment="1">
      <alignment horizontal="center" vertical="center" textRotation="90" wrapText="1"/>
    </xf>
    <xf numFmtId="0" fontId="6" fillId="4" borderId="12" xfId="5" applyBorder="1" applyAlignment="1">
      <alignment horizontal="center" vertical="center" textRotation="90" wrapText="1"/>
    </xf>
    <xf numFmtId="0" fontId="9" fillId="0" borderId="0" xfId="0" applyFont="1" applyAlignment="1">
      <alignment horizontal="left" vertical="center" wrapText="1"/>
    </xf>
    <xf numFmtId="0" fontId="9" fillId="0" borderId="0" xfId="0" applyFont="1" applyAlignment="1">
      <alignment horizontal="left"/>
    </xf>
    <xf numFmtId="0" fontId="22"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vertical="top"/>
    </xf>
    <xf numFmtId="0" fontId="9" fillId="0" borderId="5" xfId="0" applyFont="1" applyBorder="1"/>
    <xf numFmtId="0" fontId="9" fillId="0" borderId="5" xfId="0" applyFont="1" applyBorder="1" applyAlignment="1">
      <alignment horizontal="right"/>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49" fontId="0" fillId="0" borderId="0" xfId="0" applyNumberFormat="1"/>
    <xf numFmtId="49" fontId="26" fillId="0" borderId="0" xfId="0" applyNumberFormat="1" applyFont="1"/>
    <xf numFmtId="0" fontId="23" fillId="0" borderId="0" xfId="0" applyFont="1"/>
    <xf numFmtId="49" fontId="8" fillId="0" borderId="0" xfId="0" applyNumberFormat="1"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wrapText="1"/>
    </xf>
    <xf numFmtId="0" fontId="28" fillId="0" borderId="0" xfId="0" applyFont="1" applyAlignment="1">
      <alignment horizontal="center" vertical="center" wrapText="1"/>
    </xf>
    <xf numFmtId="0" fontId="28" fillId="0" borderId="0" xfId="0" applyFont="1" applyAlignment="1">
      <alignment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20" xfId="0" applyBorder="1" applyAlignment="1">
      <alignment horizontal="center" vertical="center" wrapText="1"/>
    </xf>
    <xf numFmtId="0" fontId="28" fillId="0" borderId="16"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21" xfId="0" applyFont="1" applyBorder="1" applyAlignment="1">
      <alignment horizontal="center" vertical="center" wrapText="1"/>
    </xf>
    <xf numFmtId="0" fontId="2" fillId="0" borderId="0" xfId="0" applyFont="1" applyAlignment="1">
      <alignment horizontal="center" vertical="center"/>
    </xf>
    <xf numFmtId="0" fontId="10" fillId="0" borderId="0" xfId="0" applyFont="1" applyAlignment="1">
      <alignment horizontal="center" vertical="center"/>
    </xf>
    <xf numFmtId="0" fontId="23" fillId="0" borderId="4" xfId="0" applyFont="1" applyBorder="1" applyAlignment="1">
      <alignment horizontal="center" vertical="center" wrapText="1"/>
    </xf>
    <xf numFmtId="0" fontId="1" fillId="0" borderId="0" xfId="0" applyFont="1" applyAlignment="1">
      <alignment horizontal="left" vertical="center" wrapText="1"/>
    </xf>
    <xf numFmtId="0" fontId="27" fillId="0" borderId="5" xfId="0" applyFont="1" applyBorder="1" applyAlignment="1">
      <alignment horizontal="left" wrapText="1"/>
    </xf>
    <xf numFmtId="0" fontId="23" fillId="0" borderId="0" xfId="0" applyFont="1" applyAlignment="1">
      <alignment horizontal="center" vertical="center" wrapText="1"/>
    </xf>
    <xf numFmtId="0" fontId="23" fillId="0" borderId="4" xfId="0" applyFont="1" applyBorder="1" applyAlignment="1">
      <alignment horizontal="center" vertical="top" wrapText="1"/>
    </xf>
    <xf numFmtId="0" fontId="1" fillId="0" borderId="0" xfId="0" applyFont="1" applyAlignment="1">
      <alignment horizontal="left" vertical="center"/>
    </xf>
    <xf numFmtId="0" fontId="27" fillId="0" borderId="5" xfId="0" applyFont="1" applyBorder="1" applyAlignment="1">
      <alignment horizontal="center"/>
    </xf>
    <xf numFmtId="0" fontId="23" fillId="0" borderId="0" xfId="0" applyFont="1" applyAlignment="1">
      <alignment horizontal="center" vertical="top"/>
    </xf>
    <xf numFmtId="0" fontId="9" fillId="0" borderId="5" xfId="0" applyFont="1" applyBorder="1" applyAlignment="1">
      <alignment horizontal="center" wrapText="1"/>
    </xf>
    <xf numFmtId="0" fontId="1" fillId="0" borderId="5" xfId="0" applyFont="1" applyBorder="1" applyAlignment="1">
      <alignment horizontal="center"/>
    </xf>
    <xf numFmtId="0" fontId="1" fillId="0" borderId="0" xfId="0" applyFont="1" applyAlignment="1">
      <alignment horizontal="center" vertical="top" wrapText="1"/>
    </xf>
    <xf numFmtId="0" fontId="2" fillId="0" borderId="0" xfId="0" applyFont="1" applyAlignment="1">
      <alignment horizontal="left" vertical="center" wrapText="1"/>
    </xf>
    <xf numFmtId="0" fontId="1" fillId="0" borderId="0" xfId="0" applyFont="1" applyAlignment="1">
      <alignment horizontal="left" wrapText="1"/>
    </xf>
    <xf numFmtId="0" fontId="27" fillId="0" borderId="5" xfId="0" applyFont="1" applyBorder="1" applyAlignment="1">
      <alignment horizontal="center" wrapText="1"/>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vertical="center"/>
    </xf>
    <xf numFmtId="0" fontId="9" fillId="0" borderId="0" xfId="0" applyFont="1" applyAlignment="1">
      <alignment horizontal="left"/>
    </xf>
    <xf numFmtId="0" fontId="29" fillId="0" borderId="0" xfId="0" applyFont="1" applyAlignment="1">
      <alignment horizontal="left" vertical="center" wrapText="1"/>
    </xf>
    <xf numFmtId="0" fontId="3" fillId="0" borderId="5" xfId="0" applyFont="1" applyBorder="1" applyAlignment="1">
      <alignment horizontal="center" vertical="top"/>
    </xf>
    <xf numFmtId="0" fontId="23" fillId="0" borderId="4" xfId="0" applyFont="1" applyBorder="1" applyAlignment="1">
      <alignment horizontal="center" vertical="top"/>
    </xf>
    <xf numFmtId="0" fontId="9" fillId="0" borderId="5" xfId="0" applyFont="1" applyBorder="1" applyAlignment="1">
      <alignment horizontal="center"/>
    </xf>
    <xf numFmtId="0" fontId="4" fillId="0" borderId="4" xfId="0" applyFont="1" applyBorder="1" applyAlignment="1">
      <alignment horizontal="center" vertical="top"/>
    </xf>
    <xf numFmtId="0" fontId="0" fillId="6" borderId="0" xfId="0" applyFill="1" applyAlignment="1">
      <alignment horizontal="center" vertical="center" wrapText="1"/>
    </xf>
  </cellXfs>
  <cellStyles count="7">
    <cellStyle name="20% — акцент1" xfId="4" builtinId="30"/>
    <cellStyle name="20% — акцент4" xfId="5" builtinId="42"/>
    <cellStyle name="20% — акцент6" xfId="6" builtinId="50"/>
    <cellStyle name="Обычный" xfId="0" builtinId="0"/>
    <cellStyle name="Обычный 2" xfId="3" xr:uid="{00000000-0005-0000-0000-000004000000}"/>
    <cellStyle name="Обычный_БД" xfId="2" xr:uid="{00000000-0005-0000-0000-000005000000}"/>
    <cellStyle name="Плохой" xfId="1" builtinId="27"/>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pageSetUpPr fitToPage="1"/>
  </sheetPr>
  <dimension ref="A1:J51"/>
  <sheetViews>
    <sheetView tabSelected="1" zoomScaleNormal="100" workbookViewId="0">
      <selection activeCell="C29" sqref="C29:J29"/>
    </sheetView>
  </sheetViews>
  <sheetFormatPr defaultColWidth="9.140625" defaultRowHeight="15.75" x14ac:dyDescent="0.25"/>
  <cols>
    <col min="1" max="1" width="6.42578125" style="1" customWidth="1"/>
    <col min="2" max="2" width="7" style="1" customWidth="1"/>
    <col min="3" max="3" width="4.7109375" style="1" customWidth="1"/>
    <col min="4" max="4" width="9.28515625" style="1" customWidth="1"/>
    <col min="5" max="5" width="10.140625" style="1" customWidth="1"/>
    <col min="6" max="6" width="9.140625" style="1"/>
    <col min="7" max="7" width="11.7109375" style="1" customWidth="1"/>
    <col min="8" max="8" width="11.5703125" style="1" customWidth="1"/>
    <col min="9" max="9" width="14.7109375" style="1" customWidth="1"/>
    <col min="10" max="10" width="16.42578125" style="1" customWidth="1"/>
    <col min="11" max="16384" width="9.140625" style="1"/>
  </cols>
  <sheetData>
    <row r="1" spans="1:10" s="10" customFormat="1" ht="52.5" customHeight="1" x14ac:dyDescent="0.3">
      <c r="A1" s="121" t="s">
        <v>632</v>
      </c>
      <c r="B1" s="121"/>
      <c r="C1" s="121"/>
      <c r="D1" s="121"/>
      <c r="E1" s="121"/>
      <c r="F1" s="121"/>
      <c r="G1" s="121"/>
      <c r="H1" s="121"/>
      <c r="I1" s="121"/>
      <c r="J1" s="121"/>
    </row>
    <row r="2" spans="1:10" s="10" customFormat="1" ht="13.5" customHeight="1" x14ac:dyDescent="0.3">
      <c r="A2" s="81"/>
      <c r="B2" s="81"/>
      <c r="C2" s="81"/>
      <c r="D2" s="81"/>
      <c r="E2" s="81"/>
    </row>
    <row r="3" spans="1:10" s="10" customFormat="1" ht="18.75" x14ac:dyDescent="0.3">
      <c r="A3" s="9"/>
      <c r="H3" s="81"/>
      <c r="I3" s="125" t="s">
        <v>359</v>
      </c>
      <c r="J3" s="125"/>
    </row>
    <row r="4" spans="1:10" x14ac:dyDescent="0.25">
      <c r="A4" s="2"/>
      <c r="H4" s="81"/>
      <c r="I4" s="126" t="s">
        <v>631</v>
      </c>
      <c r="J4" s="126"/>
    </row>
    <row r="5" spans="1:10" x14ac:dyDescent="0.25">
      <c r="A5" s="2"/>
      <c r="E5" s="12"/>
      <c r="I5" s="126" t="s">
        <v>630</v>
      </c>
      <c r="J5" s="126"/>
    </row>
    <row r="6" spans="1:10" x14ac:dyDescent="0.25">
      <c r="A6" s="2"/>
      <c r="E6" s="12"/>
      <c r="I6" s="126" t="s">
        <v>370</v>
      </c>
      <c r="J6" s="126"/>
    </row>
    <row r="7" spans="1:10" s="10" customFormat="1" ht="12" customHeight="1" x14ac:dyDescent="0.3">
      <c r="A7" s="9"/>
      <c r="B7" s="11"/>
    </row>
    <row r="8" spans="1:10" s="10" customFormat="1" ht="19.5" customHeight="1" x14ac:dyDescent="0.3">
      <c r="A8" s="110" t="s">
        <v>413</v>
      </c>
      <c r="B8" s="110"/>
      <c r="C8" s="110"/>
      <c r="D8" s="110"/>
      <c r="E8" s="110"/>
      <c r="F8" s="110"/>
      <c r="G8" s="110"/>
      <c r="H8" s="110"/>
      <c r="I8" s="110"/>
      <c r="J8" s="110"/>
    </row>
    <row r="9" spans="1:10" s="10" customFormat="1" ht="15" customHeight="1" x14ac:dyDescent="0.3">
      <c r="A9" s="109" t="s">
        <v>634</v>
      </c>
      <c r="B9" s="110"/>
      <c r="C9" s="110"/>
      <c r="D9" s="110"/>
      <c r="E9" s="110"/>
      <c r="F9" s="110"/>
      <c r="G9" s="110"/>
      <c r="H9" s="110"/>
      <c r="I9" s="110"/>
      <c r="J9" s="110"/>
    </row>
    <row r="10" spans="1:10" ht="17.25" customHeight="1" x14ac:dyDescent="0.25">
      <c r="A10" s="127" t="s">
        <v>633</v>
      </c>
      <c r="B10" s="127"/>
      <c r="C10" s="127"/>
      <c r="D10" s="127"/>
      <c r="E10" s="127"/>
      <c r="F10" s="127"/>
      <c r="G10" s="127"/>
      <c r="H10" s="127"/>
      <c r="I10" s="127"/>
      <c r="J10" s="127"/>
    </row>
    <row r="11" spans="1:10" s="10" customFormat="1" ht="6.75" customHeight="1" x14ac:dyDescent="0.3">
      <c r="A11" s="11"/>
      <c r="B11" s="11"/>
      <c r="C11" s="11"/>
      <c r="D11" s="11"/>
      <c r="E11" s="11"/>
    </row>
    <row r="12" spans="1:10" s="10" customFormat="1" ht="18.75" customHeight="1" x14ac:dyDescent="0.3">
      <c r="A12" s="129" t="str">
        <f>VLOOKUP(C29,БД!A:K,3,0)</f>
        <v>Состав комиссии (утверждён приказом ректора университета № 1/3-08 от 12 января 2026 г.)</v>
      </c>
      <c r="B12" s="129"/>
      <c r="C12" s="129"/>
      <c r="D12" s="129"/>
      <c r="E12" s="129"/>
      <c r="F12" s="129"/>
      <c r="G12" s="129"/>
      <c r="H12" s="129"/>
      <c r="I12" s="129"/>
      <c r="J12" s="129"/>
    </row>
    <row r="13" spans="1:10" s="10" customFormat="1" ht="18.75" customHeight="1" x14ac:dyDescent="0.3">
      <c r="A13" s="122" t="s">
        <v>7</v>
      </c>
      <c r="B13" s="122"/>
      <c r="C13" s="122"/>
      <c r="D13" s="122"/>
      <c r="E13" s="9"/>
    </row>
    <row r="14" spans="1:10" s="10" customFormat="1" ht="36.75" customHeight="1" x14ac:dyDescent="0.3">
      <c r="A14" s="113" t="str">
        <f>VLOOKUP(C29,БД!A:J,4,0)</f>
        <v>Медведев Н.В., доктор философских наук, профессор, профессор кафедры «История и философия» ФГБОУ ВО ТГУ им. Г.Р. Державина</v>
      </c>
      <c r="B14" s="113"/>
      <c r="C14" s="113"/>
      <c r="D14" s="113"/>
      <c r="E14" s="113"/>
      <c r="F14" s="113"/>
      <c r="G14" s="113"/>
      <c r="H14" s="113"/>
      <c r="I14" s="113"/>
      <c r="J14" s="113"/>
    </row>
    <row r="15" spans="1:10" s="82" customFormat="1" ht="12.75" customHeight="1" x14ac:dyDescent="0.25">
      <c r="A15" s="115" t="s">
        <v>361</v>
      </c>
      <c r="B15" s="115"/>
      <c r="C15" s="115"/>
      <c r="D15" s="115"/>
      <c r="E15" s="115"/>
      <c r="F15" s="115"/>
      <c r="G15" s="115"/>
      <c r="H15" s="115"/>
      <c r="I15" s="115"/>
      <c r="J15" s="115"/>
    </row>
    <row r="16" spans="1:10" s="10" customFormat="1" ht="18.75" customHeight="1" x14ac:dyDescent="0.3">
      <c r="A16" s="122" t="s">
        <v>9</v>
      </c>
      <c r="B16" s="122"/>
      <c r="C16" s="122"/>
      <c r="D16" s="122"/>
      <c r="E16" s="78"/>
    </row>
    <row r="17" spans="1:10" s="10" customFormat="1" ht="36.75" customHeight="1" x14ac:dyDescent="0.3">
      <c r="A17" s="113" t="str">
        <f>VLOOKUP(C29,БД!A:J,6,0)</f>
        <v>Вязинкин А.Ю., кандидат философских наук, доцент, доцент кафедры «История и философия», заместитель председателя комиссии</v>
      </c>
      <c r="B17" s="113"/>
      <c r="C17" s="113"/>
      <c r="D17" s="113"/>
      <c r="E17" s="113"/>
      <c r="F17" s="113"/>
      <c r="G17" s="113"/>
      <c r="H17" s="113"/>
      <c r="I17" s="113"/>
      <c r="J17" s="113"/>
    </row>
    <row r="18" spans="1:10" s="82" customFormat="1" ht="12.75" customHeight="1" x14ac:dyDescent="0.25">
      <c r="A18" s="115" t="s">
        <v>361</v>
      </c>
      <c r="B18" s="115"/>
      <c r="C18" s="115"/>
      <c r="D18" s="115"/>
      <c r="E18" s="115"/>
      <c r="F18" s="115"/>
      <c r="G18" s="115"/>
      <c r="H18" s="115"/>
      <c r="I18" s="115"/>
      <c r="J18" s="115"/>
    </row>
    <row r="19" spans="1:10" s="79" customFormat="1" ht="37.5" customHeight="1" x14ac:dyDescent="0.3">
      <c r="A19" s="113" t="str">
        <f>VLOOKUP(C29,БД!A:J,8,0)</f>
        <v>Кирякин А. В., кандидат философских наук, доцент кафедры «История и философия»</v>
      </c>
      <c r="B19" s="113"/>
      <c r="C19" s="113"/>
      <c r="D19" s="113"/>
      <c r="E19" s="113"/>
      <c r="F19" s="113"/>
      <c r="G19" s="113"/>
      <c r="H19" s="113"/>
      <c r="I19" s="113"/>
      <c r="J19" s="113"/>
    </row>
    <row r="20" spans="1:10" s="82" customFormat="1" ht="12.75" customHeight="1" x14ac:dyDescent="0.25">
      <c r="A20" s="115" t="s">
        <v>361</v>
      </c>
      <c r="B20" s="115"/>
      <c r="C20" s="115"/>
      <c r="D20" s="115"/>
      <c r="E20" s="115"/>
      <c r="F20" s="115"/>
      <c r="G20" s="115"/>
      <c r="H20" s="115"/>
      <c r="I20" s="115"/>
      <c r="J20" s="115"/>
    </row>
    <row r="21" spans="1:10" s="10" customFormat="1" ht="9.75" customHeight="1" x14ac:dyDescent="0.3">
      <c r="A21" s="11"/>
      <c r="B21" s="11"/>
      <c r="C21" s="11"/>
      <c r="D21" s="11"/>
      <c r="E21" s="11"/>
    </row>
    <row r="22" spans="1:10" s="10" customFormat="1" ht="13.5" customHeight="1" x14ac:dyDescent="0.3">
      <c r="A22" s="112" t="s">
        <v>637</v>
      </c>
      <c r="B22" s="112"/>
      <c r="C22" s="112"/>
      <c r="D22" s="112"/>
      <c r="E22" s="112"/>
      <c r="F22" s="112"/>
      <c r="G22" s="112"/>
      <c r="H22" s="2"/>
    </row>
    <row r="23" spans="1:10" s="10" customFormat="1" ht="30" customHeight="1" x14ac:dyDescent="0.3">
      <c r="A23" s="113" t="str">
        <f>VLOOKUP(Протокол!$C$29,БД!A:K,11,0)</f>
        <v>4.3.1 Технологии, машины и оборудование для агропромышленного комплекса</v>
      </c>
      <c r="B23" s="113"/>
      <c r="C23" s="113"/>
      <c r="D23" s="113"/>
      <c r="E23" s="113"/>
      <c r="F23" s="113"/>
      <c r="G23" s="113"/>
      <c r="H23" s="113"/>
      <c r="I23" s="113"/>
      <c r="J23" s="113"/>
    </row>
    <row r="24" spans="1:10" s="93" customFormat="1" ht="9.75" customHeight="1" x14ac:dyDescent="0.2">
      <c r="A24" s="114" t="s">
        <v>638</v>
      </c>
      <c r="B24" s="114"/>
      <c r="C24" s="114"/>
      <c r="D24" s="114"/>
      <c r="E24" s="114"/>
      <c r="F24" s="114"/>
      <c r="G24" s="114"/>
      <c r="H24" s="114"/>
      <c r="I24" s="114"/>
      <c r="J24" s="114"/>
    </row>
    <row r="25" spans="1:10" s="10" customFormat="1" ht="9.75" customHeight="1" x14ac:dyDescent="0.3">
      <c r="A25" s="11"/>
      <c r="B25" s="11"/>
      <c r="C25" s="11"/>
      <c r="D25" s="11"/>
      <c r="E25" s="11"/>
    </row>
    <row r="26" spans="1:10" s="10" customFormat="1" ht="30.75" customHeight="1" x14ac:dyDescent="0.3">
      <c r="A26" s="123" t="s">
        <v>635</v>
      </c>
      <c r="B26" s="123"/>
      <c r="C26" s="123"/>
      <c r="D26" s="124" t="str">
        <f>VLOOKUP(C29,БД!A:J,2,0)</f>
        <v>История и философия науки</v>
      </c>
      <c r="E26" s="124"/>
      <c r="F26" s="124"/>
      <c r="G26" s="124"/>
      <c r="H26" s="124"/>
      <c r="I26" s="124"/>
      <c r="J26" s="124"/>
    </row>
    <row r="27" spans="1:10" s="10" customFormat="1" ht="9.75" customHeight="1" x14ac:dyDescent="0.3">
      <c r="A27" s="11"/>
      <c r="B27" s="11"/>
      <c r="C27" s="11"/>
      <c r="D27" s="111" t="s">
        <v>636</v>
      </c>
      <c r="E27" s="111"/>
      <c r="F27" s="111"/>
      <c r="G27" s="111"/>
      <c r="H27" s="111"/>
      <c r="I27" s="111"/>
      <c r="J27" s="111"/>
    </row>
    <row r="28" spans="1:10" s="10" customFormat="1" ht="9.75" customHeight="1" x14ac:dyDescent="0.3">
      <c r="A28" s="78"/>
      <c r="B28" s="78"/>
      <c r="C28" s="78"/>
      <c r="D28" s="78"/>
      <c r="E28" s="78"/>
    </row>
    <row r="29" spans="1:10" s="10" customFormat="1" ht="18.75" customHeight="1" x14ac:dyDescent="0.3">
      <c r="A29" s="112" t="s">
        <v>366</v>
      </c>
      <c r="B29" s="112"/>
      <c r="C29" s="117" t="s">
        <v>924</v>
      </c>
      <c r="D29" s="117"/>
      <c r="E29" s="117"/>
      <c r="F29" s="117"/>
      <c r="G29" s="117"/>
      <c r="H29" s="117"/>
      <c r="I29" s="117"/>
      <c r="J29" s="117"/>
    </row>
    <row r="30" spans="1:10" ht="13.7" customHeight="1" x14ac:dyDescent="0.25">
      <c r="A30" s="4"/>
      <c r="B30" s="4"/>
      <c r="C30" s="118" t="s">
        <v>363</v>
      </c>
      <c r="D30" s="118"/>
      <c r="E30" s="118"/>
      <c r="F30" s="118"/>
      <c r="G30" s="118"/>
      <c r="H30" s="118"/>
      <c r="I30" s="118"/>
      <c r="J30" s="118"/>
    </row>
    <row r="31" spans="1:10" s="10" customFormat="1" ht="16.5" customHeight="1" x14ac:dyDescent="0.3">
      <c r="A31" s="112" t="s">
        <v>364</v>
      </c>
      <c r="B31" s="112"/>
      <c r="C31" s="112"/>
      <c r="D31" s="112"/>
      <c r="E31" s="112"/>
      <c r="F31" s="112"/>
      <c r="G31" s="112"/>
      <c r="H31" s="112"/>
    </row>
    <row r="32" spans="1:10" s="10" customFormat="1" ht="18.75" customHeight="1" x14ac:dyDescent="0.3">
      <c r="A32" s="119"/>
      <c r="B32" s="119"/>
      <c r="C32" s="119"/>
      <c r="D32" s="119"/>
      <c r="E32" s="119"/>
      <c r="F32" s="119"/>
      <c r="G32" s="119"/>
      <c r="H32" s="119"/>
      <c r="I32" s="119"/>
      <c r="J32" s="119"/>
    </row>
    <row r="33" spans="1:10" s="10" customFormat="1" ht="18.75" customHeight="1" x14ac:dyDescent="0.3">
      <c r="A33" s="119"/>
      <c r="B33" s="119"/>
      <c r="C33" s="119"/>
      <c r="D33" s="119"/>
      <c r="E33" s="119"/>
      <c r="F33" s="119"/>
      <c r="G33" s="119"/>
      <c r="H33" s="119"/>
      <c r="I33" s="119"/>
      <c r="J33" s="119"/>
    </row>
    <row r="34" spans="1:10" s="10" customFormat="1" ht="18.75" customHeight="1" x14ac:dyDescent="0.3">
      <c r="A34" s="119"/>
      <c r="B34" s="119"/>
      <c r="C34" s="119"/>
      <c r="D34" s="119"/>
      <c r="E34" s="119"/>
      <c r="F34" s="119"/>
      <c r="G34" s="119"/>
      <c r="H34" s="119"/>
      <c r="I34" s="119"/>
      <c r="J34" s="119"/>
    </row>
    <row r="35" spans="1:10" s="10" customFormat="1" ht="18.75" customHeight="1" x14ac:dyDescent="0.3">
      <c r="A35" s="119"/>
      <c r="B35" s="119"/>
      <c r="C35" s="119"/>
      <c r="D35" s="119"/>
      <c r="E35" s="119"/>
      <c r="F35" s="119"/>
      <c r="G35" s="119"/>
      <c r="H35" s="119"/>
      <c r="I35" s="119"/>
      <c r="J35" s="119"/>
    </row>
    <row r="36" spans="1:10" ht="18.75" customHeight="1" x14ac:dyDescent="0.25">
      <c r="A36" s="130"/>
      <c r="B36" s="130"/>
      <c r="C36" s="130"/>
      <c r="D36" s="130"/>
      <c r="E36" s="130"/>
      <c r="F36" s="130"/>
      <c r="G36" s="130"/>
      <c r="H36" s="130"/>
      <c r="I36" s="130"/>
      <c r="J36" s="130"/>
    </row>
    <row r="37" spans="1:10" s="10" customFormat="1" ht="18.75" customHeight="1" x14ac:dyDescent="0.3">
      <c r="A37" s="132"/>
      <c r="B37" s="132"/>
      <c r="C37" s="132"/>
      <c r="D37" s="132"/>
      <c r="E37" s="132"/>
      <c r="F37" s="132"/>
      <c r="G37" s="132"/>
      <c r="H37" s="132"/>
      <c r="I37" s="132"/>
      <c r="J37" s="132"/>
    </row>
    <row r="38" spans="1:10" x14ac:dyDescent="0.25">
      <c r="A38" s="5"/>
    </row>
    <row r="39" spans="1:10" s="10" customFormat="1" ht="18.75" x14ac:dyDescent="0.3">
      <c r="A39" s="116" t="s">
        <v>412</v>
      </c>
      <c r="B39" s="116"/>
      <c r="C39" s="116"/>
      <c r="D39" s="117" t="str">
        <f>VLOOKUP($C$29,БД!A:J,10,0)</f>
        <v>Агапонов Дмитрий Анатольевич</v>
      </c>
      <c r="E39" s="117"/>
      <c r="F39" s="117"/>
      <c r="G39" s="117"/>
      <c r="H39" s="1" t="s">
        <v>367</v>
      </c>
      <c r="J39" s="83"/>
    </row>
    <row r="40" spans="1:10" x14ac:dyDescent="0.25">
      <c r="A40" s="3"/>
      <c r="D40" s="131" t="s">
        <v>3</v>
      </c>
      <c r="E40" s="131"/>
      <c r="F40" s="131"/>
      <c r="G40" s="131"/>
    </row>
    <row r="41" spans="1:10" ht="6" customHeight="1" x14ac:dyDescent="0.25">
      <c r="A41" s="4"/>
    </row>
    <row r="42" spans="1:10" s="10" customFormat="1" ht="18.75" x14ac:dyDescent="0.3">
      <c r="A42" s="116" t="s">
        <v>360</v>
      </c>
      <c r="B42" s="116"/>
      <c r="C42" s="116"/>
      <c r="D42" s="116"/>
      <c r="E42" s="132"/>
      <c r="F42" s="132"/>
      <c r="G42" s="132"/>
      <c r="I42" s="120" t="str">
        <f>VLOOKUP(C29,БД!A:J,5,0)</f>
        <v>/ Н.В. Медведев /</v>
      </c>
      <c r="J42" s="120"/>
    </row>
    <row r="43" spans="1:10" ht="12" customHeight="1" x14ac:dyDescent="0.25">
      <c r="C43" s="4"/>
      <c r="E43" s="133" t="s">
        <v>369</v>
      </c>
      <c r="F43" s="133"/>
      <c r="G43" s="133"/>
      <c r="I43" s="118" t="s">
        <v>368</v>
      </c>
      <c r="J43" s="118"/>
    </row>
    <row r="44" spans="1:10" ht="9.75" customHeight="1" x14ac:dyDescent="0.25">
      <c r="A44" s="4"/>
    </row>
    <row r="45" spans="1:10" s="10" customFormat="1" ht="18.75" x14ac:dyDescent="0.3">
      <c r="A45" s="116" t="s">
        <v>920</v>
      </c>
      <c r="B45" s="116"/>
      <c r="C45" s="116"/>
      <c r="D45" s="116"/>
      <c r="E45" s="84"/>
      <c r="F45" s="83"/>
      <c r="G45" s="83"/>
      <c r="I45" s="120" t="str">
        <f>VLOOKUP(C29,БД!A:J,7,0)</f>
        <v>/ А.Ю. Вязинкин /</v>
      </c>
      <c r="J45" s="120"/>
    </row>
    <row r="46" spans="1:10" ht="11.25" customHeight="1" x14ac:dyDescent="0.25">
      <c r="C46" s="4"/>
      <c r="E46" s="133" t="s">
        <v>369</v>
      </c>
      <c r="F46" s="133"/>
      <c r="G46" s="133"/>
      <c r="I46" s="118" t="s">
        <v>368</v>
      </c>
      <c r="J46" s="118"/>
    </row>
    <row r="47" spans="1:10" s="10" customFormat="1" ht="18.75" x14ac:dyDescent="0.3">
      <c r="A47" s="116"/>
      <c r="B47" s="116"/>
      <c r="C47" s="116"/>
      <c r="D47" s="116"/>
      <c r="E47" s="84"/>
      <c r="F47" s="83"/>
      <c r="G47" s="83"/>
      <c r="I47" s="120" t="str">
        <f>VLOOKUP(C29,БД!A:J,9,0)</f>
        <v>/ А.В. Кирякин /</v>
      </c>
      <c r="J47" s="120"/>
    </row>
    <row r="48" spans="1:10" ht="10.5" customHeight="1" x14ac:dyDescent="0.25">
      <c r="C48" s="4"/>
      <c r="E48" s="133" t="s">
        <v>369</v>
      </c>
      <c r="F48" s="133"/>
      <c r="G48" s="133"/>
      <c r="I48" s="118" t="s">
        <v>368</v>
      </c>
      <c r="J48" s="118"/>
    </row>
    <row r="49" spans="1:6" ht="15.75" customHeight="1" x14ac:dyDescent="0.25">
      <c r="A49" s="2"/>
      <c r="B49" s="2"/>
      <c r="C49" s="2"/>
      <c r="D49" s="2"/>
      <c r="E49" s="8"/>
    </row>
    <row r="50" spans="1:6" x14ac:dyDescent="0.25">
      <c r="A50" s="4"/>
      <c r="F50" s="7"/>
    </row>
    <row r="51" spans="1:6" s="10" customFormat="1" ht="18.75" x14ac:dyDescent="0.3">
      <c r="A51" s="128"/>
      <c r="B51" s="128"/>
      <c r="C51" s="128"/>
      <c r="D51" s="128"/>
    </row>
  </sheetData>
  <mergeCells count="50">
    <mergeCell ref="A51:D51"/>
    <mergeCell ref="A42:D42"/>
    <mergeCell ref="A29:B29"/>
    <mergeCell ref="A31:H31"/>
    <mergeCell ref="A12:J12"/>
    <mergeCell ref="A36:J36"/>
    <mergeCell ref="D39:G39"/>
    <mergeCell ref="D40:G40"/>
    <mergeCell ref="A37:J37"/>
    <mergeCell ref="I48:J48"/>
    <mergeCell ref="E42:G42"/>
    <mergeCell ref="E43:G43"/>
    <mergeCell ref="E46:G46"/>
    <mergeCell ref="E48:G48"/>
    <mergeCell ref="I42:J42"/>
    <mergeCell ref="I43:J43"/>
    <mergeCell ref="A1:J1"/>
    <mergeCell ref="A16:D16"/>
    <mergeCell ref="A35:J35"/>
    <mergeCell ref="A26:C26"/>
    <mergeCell ref="A13:D13"/>
    <mergeCell ref="A14:J14"/>
    <mergeCell ref="A17:J17"/>
    <mergeCell ref="A19:J19"/>
    <mergeCell ref="D26:J26"/>
    <mergeCell ref="I3:J3"/>
    <mergeCell ref="I4:J4"/>
    <mergeCell ref="I5:J5"/>
    <mergeCell ref="I6:J6"/>
    <mergeCell ref="A15:J15"/>
    <mergeCell ref="A10:J10"/>
    <mergeCell ref="A8:J8"/>
    <mergeCell ref="I45:J45"/>
    <mergeCell ref="I46:J46"/>
    <mergeCell ref="A47:D47"/>
    <mergeCell ref="I47:J47"/>
    <mergeCell ref="A45:D45"/>
    <mergeCell ref="A39:C39"/>
    <mergeCell ref="C29:J29"/>
    <mergeCell ref="C30:J30"/>
    <mergeCell ref="A32:J32"/>
    <mergeCell ref="A33:J33"/>
    <mergeCell ref="A34:J34"/>
    <mergeCell ref="A9:J9"/>
    <mergeCell ref="D27:J27"/>
    <mergeCell ref="A22:G22"/>
    <mergeCell ref="A23:J23"/>
    <mergeCell ref="A24:J24"/>
    <mergeCell ref="A18:J18"/>
    <mergeCell ref="A20:J20"/>
  </mergeCells>
  <printOptions horizontalCentered="1"/>
  <pageMargins left="0.82677165354330717" right="0.43307086614173229" top="0.77458333333333329" bottom="0.74803149606299213" header="0.31496062992125984" footer="0.31496062992125984"/>
  <pageSetup paperSize="9" scale="88" fitToHeight="0"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БД!$A:$A</xm:f>
          </x14:formula1>
          <xm:sqref>C29:J29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
  <dimension ref="A1:L23"/>
  <sheetViews>
    <sheetView workbookViewId="0">
      <selection activeCell="D4" sqref="D4"/>
    </sheetView>
  </sheetViews>
  <sheetFormatPr defaultRowHeight="15" x14ac:dyDescent="0.25"/>
  <cols>
    <col min="1" max="1" width="19.85546875" style="13" customWidth="1"/>
    <col min="2" max="2" width="21.5703125" style="13" customWidth="1"/>
    <col min="3" max="3" width="21.7109375" style="13" customWidth="1"/>
    <col min="4" max="4" width="40.42578125" style="13" customWidth="1"/>
    <col min="5" max="5" width="12.85546875" style="13" customWidth="1"/>
    <col min="6" max="6" width="40.42578125" style="13" customWidth="1"/>
    <col min="7" max="7" width="12.85546875" style="13" customWidth="1"/>
    <col min="8" max="8" width="40.140625" style="13" customWidth="1"/>
    <col min="9" max="9" width="14" style="13" customWidth="1"/>
    <col min="10" max="10" width="19.85546875" style="13" customWidth="1"/>
    <col min="11" max="11" width="20.140625" style="6" customWidth="1"/>
    <col min="13" max="16384" width="9.140625" style="6"/>
  </cols>
  <sheetData>
    <row r="1" spans="1:11" ht="45" x14ac:dyDescent="0.25">
      <c r="A1" s="134" t="s">
        <v>366</v>
      </c>
      <c r="B1" s="134" t="s">
        <v>362</v>
      </c>
      <c r="C1" s="134" t="s">
        <v>78</v>
      </c>
      <c r="D1" s="134" t="s">
        <v>7</v>
      </c>
      <c r="E1" s="134" t="s">
        <v>76</v>
      </c>
      <c r="F1" s="134" t="s">
        <v>371</v>
      </c>
      <c r="G1" s="134" t="s">
        <v>76</v>
      </c>
      <c r="H1" s="134" t="s">
        <v>372</v>
      </c>
      <c r="I1" s="134" t="s">
        <v>76</v>
      </c>
      <c r="J1" s="134" t="s">
        <v>365</v>
      </c>
      <c r="K1" s="134" t="s">
        <v>926</v>
      </c>
    </row>
    <row r="2" spans="1:11" s="96" customFormat="1" ht="75" customHeight="1" x14ac:dyDescent="0.25">
      <c r="A2" s="13" t="s">
        <v>924</v>
      </c>
      <c r="B2" s="13" t="s">
        <v>1</v>
      </c>
      <c r="C2" s="13" t="s">
        <v>925</v>
      </c>
      <c r="D2" s="13" t="s">
        <v>918</v>
      </c>
      <c r="E2" s="13" t="s">
        <v>639</v>
      </c>
      <c r="F2" s="13" t="s">
        <v>919</v>
      </c>
      <c r="G2" s="13" t="s">
        <v>629</v>
      </c>
      <c r="H2" s="13" t="s">
        <v>921</v>
      </c>
      <c r="I2" s="13" t="s">
        <v>922</v>
      </c>
      <c r="J2" s="13" t="s">
        <v>923</v>
      </c>
      <c r="K2" s="13" t="s">
        <v>917</v>
      </c>
    </row>
    <row r="3" spans="1:11" ht="75" customHeight="1" x14ac:dyDescent="0.25">
      <c r="A3" s="13" t="s">
        <v>937</v>
      </c>
      <c r="B3" s="13" t="s">
        <v>938</v>
      </c>
      <c r="C3" s="13" t="s">
        <v>925</v>
      </c>
      <c r="D3" s="13" t="s">
        <v>284</v>
      </c>
      <c r="E3" s="13" t="s">
        <v>796</v>
      </c>
      <c r="F3" s="13" t="s">
        <v>797</v>
      </c>
      <c r="G3" s="13" t="s">
        <v>798</v>
      </c>
      <c r="H3" s="13" t="s">
        <v>939</v>
      </c>
      <c r="I3" s="13" t="s">
        <v>940</v>
      </c>
      <c r="J3" s="13" t="s">
        <v>941</v>
      </c>
      <c r="K3" s="13" t="s">
        <v>942</v>
      </c>
    </row>
    <row r="4" spans="1:11" s="96" customFormat="1" ht="75" customHeight="1" x14ac:dyDescent="0.25">
      <c r="A4" s="13" t="s">
        <v>928</v>
      </c>
      <c r="B4" s="13" t="s">
        <v>125</v>
      </c>
      <c r="C4" s="13" t="s">
        <v>925</v>
      </c>
      <c r="D4" s="13" t="s">
        <v>943</v>
      </c>
      <c r="E4" s="13" t="s">
        <v>873</v>
      </c>
      <c r="F4" s="13" t="s">
        <v>805</v>
      </c>
      <c r="G4" s="13" t="s">
        <v>806</v>
      </c>
      <c r="H4" s="13" t="s">
        <v>944</v>
      </c>
      <c r="I4" s="13" t="s">
        <v>945</v>
      </c>
      <c r="J4" s="13" t="s">
        <v>946</v>
      </c>
      <c r="K4" s="13" t="s">
        <v>947</v>
      </c>
    </row>
    <row r="5" spans="1:11" ht="75" customHeight="1" x14ac:dyDescent="0.25">
      <c r="A5" s="13" t="s">
        <v>988</v>
      </c>
      <c r="B5" s="13" t="s">
        <v>95</v>
      </c>
      <c r="C5" s="13" t="s">
        <v>925</v>
      </c>
      <c r="D5" s="13" t="s">
        <v>948</v>
      </c>
      <c r="E5" s="13" t="s">
        <v>791</v>
      </c>
      <c r="F5" s="13" t="s">
        <v>949</v>
      </c>
      <c r="G5" s="13" t="s">
        <v>784</v>
      </c>
      <c r="H5" s="13" t="s">
        <v>373</v>
      </c>
      <c r="I5" s="13" t="s">
        <v>766</v>
      </c>
      <c r="J5" s="13" t="s">
        <v>987</v>
      </c>
      <c r="K5" s="13" t="s">
        <v>950</v>
      </c>
    </row>
    <row r="6" spans="1:11" s="96" customFormat="1" ht="75" customHeight="1" x14ac:dyDescent="0.25">
      <c r="A6" s="13" t="s">
        <v>929</v>
      </c>
      <c r="B6" s="13" t="s">
        <v>119</v>
      </c>
      <c r="C6" s="13" t="s">
        <v>925</v>
      </c>
      <c r="D6" s="13" t="s">
        <v>311</v>
      </c>
      <c r="E6" s="13" t="s">
        <v>776</v>
      </c>
      <c r="F6" s="13" t="s">
        <v>951</v>
      </c>
      <c r="G6" s="13" t="s">
        <v>777</v>
      </c>
      <c r="H6" s="13" t="s">
        <v>313</v>
      </c>
      <c r="I6" s="13" t="s">
        <v>763</v>
      </c>
      <c r="J6" s="13" t="s">
        <v>952</v>
      </c>
      <c r="K6" s="13" t="s">
        <v>953</v>
      </c>
    </row>
    <row r="7" spans="1:11" ht="75" customHeight="1" x14ac:dyDescent="0.25">
      <c r="A7" s="13" t="s">
        <v>930</v>
      </c>
      <c r="B7" s="13" t="s">
        <v>954</v>
      </c>
      <c r="C7" s="13" t="s">
        <v>925</v>
      </c>
      <c r="D7" s="13" t="s">
        <v>955</v>
      </c>
      <c r="E7" s="13" t="s">
        <v>956</v>
      </c>
      <c r="F7" s="13" t="s">
        <v>957</v>
      </c>
      <c r="G7" s="13" t="s">
        <v>958</v>
      </c>
      <c r="H7" s="13" t="s">
        <v>959</v>
      </c>
      <c r="I7" s="13" t="s">
        <v>960</v>
      </c>
      <c r="J7" s="13" t="s">
        <v>961</v>
      </c>
      <c r="K7" s="13" t="s">
        <v>962</v>
      </c>
    </row>
    <row r="8" spans="1:11" s="96" customFormat="1" ht="75" customHeight="1" x14ac:dyDescent="0.25">
      <c r="A8" s="13" t="s">
        <v>931</v>
      </c>
      <c r="B8" s="13" t="s">
        <v>90</v>
      </c>
      <c r="C8" s="13" t="s">
        <v>925</v>
      </c>
      <c r="D8" s="13" t="s">
        <v>289</v>
      </c>
      <c r="E8" s="13" t="s">
        <v>860</v>
      </c>
      <c r="F8" s="13" t="s">
        <v>963</v>
      </c>
      <c r="G8" s="13" t="s">
        <v>861</v>
      </c>
      <c r="H8" s="13" t="s">
        <v>294</v>
      </c>
      <c r="I8" s="13" t="s">
        <v>862</v>
      </c>
      <c r="J8" s="13" t="s">
        <v>964</v>
      </c>
      <c r="K8" s="13" t="s">
        <v>965</v>
      </c>
    </row>
    <row r="9" spans="1:11" s="96" customFormat="1" ht="75" customHeight="1" x14ac:dyDescent="0.25">
      <c r="A9" s="13" t="s">
        <v>932</v>
      </c>
      <c r="B9" s="13" t="s">
        <v>966</v>
      </c>
      <c r="C9" s="13" t="s">
        <v>927</v>
      </c>
      <c r="D9" s="13" t="s">
        <v>967</v>
      </c>
      <c r="E9" s="13" t="s">
        <v>792</v>
      </c>
      <c r="F9" s="13" t="s">
        <v>968</v>
      </c>
      <c r="G9" s="13" t="s">
        <v>793</v>
      </c>
      <c r="H9" s="13" t="s">
        <v>234</v>
      </c>
      <c r="I9" s="13" t="s">
        <v>762</v>
      </c>
      <c r="J9" s="13" t="s">
        <v>969</v>
      </c>
      <c r="K9" s="13" t="s">
        <v>970</v>
      </c>
    </row>
    <row r="10" spans="1:11" ht="75" customHeight="1" x14ac:dyDescent="0.25">
      <c r="A10" s="13" t="s">
        <v>933</v>
      </c>
      <c r="B10" s="13" t="s">
        <v>971</v>
      </c>
      <c r="C10" s="13" t="s">
        <v>927</v>
      </c>
      <c r="D10" s="13" t="s">
        <v>972</v>
      </c>
      <c r="E10" s="13" t="s">
        <v>973</v>
      </c>
      <c r="F10" s="13" t="s">
        <v>809</v>
      </c>
      <c r="G10" s="13" t="s">
        <v>785</v>
      </c>
      <c r="H10" s="13" t="s">
        <v>974</v>
      </c>
      <c r="I10" s="13" t="s">
        <v>975</v>
      </c>
      <c r="J10" s="13" t="s">
        <v>976</v>
      </c>
      <c r="K10" s="13" t="s">
        <v>977</v>
      </c>
    </row>
    <row r="11" spans="1:11" ht="75" customHeight="1" x14ac:dyDescent="0.25">
      <c r="A11" s="13" t="s">
        <v>934</v>
      </c>
      <c r="B11" s="13" t="s">
        <v>954</v>
      </c>
      <c r="C11" s="13" t="s">
        <v>927</v>
      </c>
      <c r="D11" s="13" t="s">
        <v>955</v>
      </c>
      <c r="E11" s="13" t="s">
        <v>956</v>
      </c>
      <c r="F11" s="13" t="s">
        <v>957</v>
      </c>
      <c r="G11" s="13" t="s">
        <v>958</v>
      </c>
      <c r="H11" s="13" t="s">
        <v>959</v>
      </c>
      <c r="I11" s="13" t="s">
        <v>960</v>
      </c>
      <c r="J11" s="13" t="s">
        <v>978</v>
      </c>
      <c r="K11" s="13" t="s">
        <v>962</v>
      </c>
    </row>
    <row r="12" spans="1:11" ht="75" customHeight="1" x14ac:dyDescent="0.25">
      <c r="A12" s="13" t="s">
        <v>935</v>
      </c>
      <c r="B12" s="13" t="s">
        <v>135</v>
      </c>
      <c r="C12" s="13" t="s">
        <v>927</v>
      </c>
      <c r="D12" s="13" t="s">
        <v>979</v>
      </c>
      <c r="E12" s="13" t="s">
        <v>794</v>
      </c>
      <c r="F12" s="13" t="s">
        <v>980</v>
      </c>
      <c r="G12" s="13" t="s">
        <v>868</v>
      </c>
      <c r="H12" s="13" t="s">
        <v>238</v>
      </c>
      <c r="I12" s="13" t="s">
        <v>795</v>
      </c>
      <c r="J12" s="13" t="s">
        <v>981</v>
      </c>
      <c r="K12" s="13" t="s">
        <v>982</v>
      </c>
    </row>
    <row r="13" spans="1:11" ht="75" customHeight="1" x14ac:dyDescent="0.25">
      <c r="A13" s="13" t="s">
        <v>936</v>
      </c>
      <c r="B13" s="13" t="s">
        <v>53</v>
      </c>
      <c r="C13" s="13" t="s">
        <v>927</v>
      </c>
      <c r="D13" s="13" t="s">
        <v>300</v>
      </c>
      <c r="E13" s="13" t="s">
        <v>781</v>
      </c>
      <c r="F13" s="13" t="s">
        <v>949</v>
      </c>
      <c r="G13" s="13" t="s">
        <v>784</v>
      </c>
      <c r="H13" s="13" t="s">
        <v>983</v>
      </c>
      <c r="I13" s="13" t="s">
        <v>984</v>
      </c>
      <c r="J13" s="13" t="s">
        <v>985</v>
      </c>
      <c r="K13" s="13" t="s">
        <v>986</v>
      </c>
    </row>
    <row r="14" spans="1:11" ht="75" customHeight="1" x14ac:dyDescent="0.25">
      <c r="K14" s="13"/>
    </row>
    <row r="15" spans="1:11" ht="75" customHeight="1" x14ac:dyDescent="0.25">
      <c r="K15" s="13"/>
    </row>
    <row r="16" spans="1:11" ht="75" customHeight="1" x14ac:dyDescent="0.25">
      <c r="K16" s="13"/>
    </row>
    <row r="17" spans="11:11" ht="75" customHeight="1" x14ac:dyDescent="0.25">
      <c r="K17" s="13"/>
    </row>
    <row r="18" spans="11:11" ht="75" customHeight="1" x14ac:dyDescent="0.25">
      <c r="K18" s="13"/>
    </row>
    <row r="19" spans="11:11" ht="75" customHeight="1" x14ac:dyDescent="0.25">
      <c r="K19" s="13"/>
    </row>
    <row r="20" spans="11:11" ht="75" customHeight="1" x14ac:dyDescent="0.25">
      <c r="K20" s="13"/>
    </row>
    <row r="21" spans="11:11" ht="75" customHeight="1" x14ac:dyDescent="0.25">
      <c r="K21" s="13"/>
    </row>
    <row r="22" spans="11:11" ht="75" customHeight="1" x14ac:dyDescent="0.25">
      <c r="K22" s="13"/>
    </row>
    <row r="23" spans="11:11" ht="60"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9"/>
  <dimension ref="A1:B158"/>
  <sheetViews>
    <sheetView topLeftCell="A115" workbookViewId="0">
      <selection activeCell="A17" sqref="A17"/>
    </sheetView>
  </sheetViews>
  <sheetFormatPr defaultRowHeight="15" x14ac:dyDescent="0.25"/>
  <cols>
    <col min="1" max="1" width="40.140625" style="91" bestFit="1" customWidth="1"/>
    <col min="2" max="2" width="8" style="91" bestFit="1" customWidth="1"/>
  </cols>
  <sheetData>
    <row r="1" spans="1:2" x14ac:dyDescent="0.25">
      <c r="A1" s="91" t="s">
        <v>442</v>
      </c>
      <c r="B1" s="91" t="s">
        <v>441</v>
      </c>
    </row>
    <row r="2" spans="1:2" x14ac:dyDescent="0.25">
      <c r="A2" s="91" t="s">
        <v>443</v>
      </c>
      <c r="B2" s="91" t="s">
        <v>441</v>
      </c>
    </row>
    <row r="3" spans="1:2" x14ac:dyDescent="0.25">
      <c r="A3" s="91" t="s">
        <v>445</v>
      </c>
      <c r="B3" s="91" t="s">
        <v>444</v>
      </c>
    </row>
    <row r="4" spans="1:2" x14ac:dyDescent="0.25">
      <c r="A4" s="92" t="s">
        <v>374</v>
      </c>
      <c r="B4" s="92" t="s">
        <v>446</v>
      </c>
    </row>
    <row r="5" spans="1:2" x14ac:dyDescent="0.25">
      <c r="A5" s="91" t="s">
        <v>447</v>
      </c>
      <c r="B5" s="91" t="s">
        <v>438</v>
      </c>
    </row>
    <row r="6" spans="1:2" x14ac:dyDescent="0.25">
      <c r="A6" s="92" t="s">
        <v>375</v>
      </c>
      <c r="B6" s="92" t="s">
        <v>448</v>
      </c>
    </row>
    <row r="7" spans="1:2" x14ac:dyDescent="0.25">
      <c r="A7" s="91" t="s">
        <v>450</v>
      </c>
      <c r="B7" s="91" t="s">
        <v>449</v>
      </c>
    </row>
    <row r="8" spans="1:2" x14ac:dyDescent="0.25">
      <c r="A8" s="91" t="s">
        <v>451</v>
      </c>
      <c r="B8" s="91" t="s">
        <v>449</v>
      </c>
    </row>
    <row r="9" spans="1:2" x14ac:dyDescent="0.25">
      <c r="A9" s="91" t="s">
        <v>452</v>
      </c>
      <c r="B9" s="91" t="s">
        <v>436</v>
      </c>
    </row>
    <row r="10" spans="1:2" x14ac:dyDescent="0.25">
      <c r="A10" s="91" t="s">
        <v>453</v>
      </c>
      <c r="B10" s="91" t="s">
        <v>436</v>
      </c>
    </row>
    <row r="11" spans="1:2" x14ac:dyDescent="0.25">
      <c r="A11" s="91" t="s">
        <v>455</v>
      </c>
      <c r="B11" s="91" t="s">
        <v>454</v>
      </c>
    </row>
    <row r="12" spans="1:2" x14ac:dyDescent="0.25">
      <c r="A12" s="91" t="s">
        <v>456</v>
      </c>
      <c r="B12" s="91" t="s">
        <v>454</v>
      </c>
    </row>
    <row r="13" spans="1:2" x14ac:dyDescent="0.25">
      <c r="A13" s="91" t="s">
        <v>458</v>
      </c>
      <c r="B13" s="91" t="s">
        <v>457</v>
      </c>
    </row>
    <row r="14" spans="1:2" x14ac:dyDescent="0.25">
      <c r="A14" s="91" t="s">
        <v>459</v>
      </c>
      <c r="B14" s="91" t="s">
        <v>457</v>
      </c>
    </row>
    <row r="15" spans="1:2" x14ac:dyDescent="0.25">
      <c r="A15" s="91" t="s">
        <v>461</v>
      </c>
      <c r="B15" s="91" t="s">
        <v>460</v>
      </c>
    </row>
    <row r="16" spans="1:2" x14ac:dyDescent="0.25">
      <c r="A16" s="91" t="s">
        <v>463</v>
      </c>
      <c r="B16" s="91" t="s">
        <v>462</v>
      </c>
    </row>
    <row r="17" spans="1:2" x14ac:dyDescent="0.25">
      <c r="A17" s="92" t="s">
        <v>376</v>
      </c>
      <c r="B17" s="92" t="s">
        <v>464</v>
      </c>
    </row>
    <row r="18" spans="1:2" x14ac:dyDescent="0.25">
      <c r="A18" s="91" t="s">
        <v>465</v>
      </c>
      <c r="B18" s="91" t="s">
        <v>439</v>
      </c>
    </row>
    <row r="19" spans="1:2" x14ac:dyDescent="0.25">
      <c r="A19" s="91" t="s">
        <v>467</v>
      </c>
      <c r="B19" s="91" t="s">
        <v>466</v>
      </c>
    </row>
    <row r="20" spans="1:2" x14ac:dyDescent="0.25">
      <c r="A20" s="91" t="s">
        <v>469</v>
      </c>
      <c r="B20" s="91" t="s">
        <v>468</v>
      </c>
    </row>
    <row r="21" spans="1:2" x14ac:dyDescent="0.25">
      <c r="A21" s="91" t="s">
        <v>470</v>
      </c>
      <c r="B21" s="91" t="s">
        <v>468</v>
      </c>
    </row>
    <row r="22" spans="1:2" x14ac:dyDescent="0.25">
      <c r="A22" s="92" t="s">
        <v>377</v>
      </c>
      <c r="B22" s="92" t="s">
        <v>471</v>
      </c>
    </row>
    <row r="23" spans="1:2" x14ac:dyDescent="0.25">
      <c r="A23" s="91" t="s">
        <v>473</v>
      </c>
      <c r="B23" s="91" t="s">
        <v>472</v>
      </c>
    </row>
    <row r="24" spans="1:2" x14ac:dyDescent="0.25">
      <c r="A24" s="91" t="s">
        <v>474</v>
      </c>
      <c r="B24" s="91" t="s">
        <v>472</v>
      </c>
    </row>
    <row r="25" spans="1:2" x14ac:dyDescent="0.25">
      <c r="A25" s="91" t="s">
        <v>475</v>
      </c>
      <c r="B25" s="91" t="s">
        <v>472</v>
      </c>
    </row>
    <row r="26" spans="1:2" x14ac:dyDescent="0.25">
      <c r="A26" s="91" t="s">
        <v>476</v>
      </c>
      <c r="B26" s="91" t="s">
        <v>472</v>
      </c>
    </row>
    <row r="27" spans="1:2" x14ac:dyDescent="0.25">
      <c r="A27" s="91" t="s">
        <v>477</v>
      </c>
      <c r="B27" s="91" t="s">
        <v>429</v>
      </c>
    </row>
    <row r="28" spans="1:2" x14ac:dyDescent="0.25">
      <c r="A28" s="91" t="s">
        <v>478</v>
      </c>
      <c r="B28" s="91" t="s">
        <v>429</v>
      </c>
    </row>
    <row r="29" spans="1:2" x14ac:dyDescent="0.25">
      <c r="A29" s="91" t="s">
        <v>479</v>
      </c>
      <c r="B29" s="91" t="s">
        <v>429</v>
      </c>
    </row>
    <row r="30" spans="1:2" x14ac:dyDescent="0.25">
      <c r="A30" s="92" t="s">
        <v>378</v>
      </c>
      <c r="B30" s="92" t="s">
        <v>480</v>
      </c>
    </row>
    <row r="31" spans="1:2" x14ac:dyDescent="0.25">
      <c r="A31" s="91" t="s">
        <v>482</v>
      </c>
      <c r="B31" s="91" t="s">
        <v>481</v>
      </c>
    </row>
    <row r="32" spans="1:2" x14ac:dyDescent="0.25">
      <c r="A32" s="91" t="s">
        <v>483</v>
      </c>
      <c r="B32" s="91" t="s">
        <v>481</v>
      </c>
    </row>
    <row r="33" spans="1:2" x14ac:dyDescent="0.25">
      <c r="A33" s="91" t="s">
        <v>484</v>
      </c>
      <c r="B33" s="91" t="s">
        <v>431</v>
      </c>
    </row>
    <row r="34" spans="1:2" x14ac:dyDescent="0.25">
      <c r="A34" s="91" t="s">
        <v>485</v>
      </c>
      <c r="B34" s="91" t="s">
        <v>431</v>
      </c>
    </row>
    <row r="35" spans="1:2" x14ac:dyDescent="0.25">
      <c r="A35" s="91" t="s">
        <v>487</v>
      </c>
      <c r="B35" s="91" t="s">
        <v>486</v>
      </c>
    </row>
    <row r="36" spans="1:2" x14ac:dyDescent="0.25">
      <c r="A36" s="91" t="s">
        <v>489</v>
      </c>
      <c r="B36" s="91" t="s">
        <v>488</v>
      </c>
    </row>
    <row r="37" spans="1:2" x14ac:dyDescent="0.25">
      <c r="A37" s="91" t="s">
        <v>490</v>
      </c>
      <c r="B37" s="91" t="s">
        <v>488</v>
      </c>
    </row>
    <row r="38" spans="1:2" x14ac:dyDescent="0.25">
      <c r="A38" s="91" t="s">
        <v>491</v>
      </c>
      <c r="B38" s="91" t="s">
        <v>430</v>
      </c>
    </row>
    <row r="39" spans="1:2" x14ac:dyDescent="0.25">
      <c r="A39" s="91" t="s">
        <v>492</v>
      </c>
      <c r="B39" s="91" t="s">
        <v>430</v>
      </c>
    </row>
    <row r="40" spans="1:2" x14ac:dyDescent="0.25">
      <c r="A40" s="92" t="s">
        <v>379</v>
      </c>
      <c r="B40" s="92" t="s">
        <v>493</v>
      </c>
    </row>
    <row r="41" spans="1:2" x14ac:dyDescent="0.25">
      <c r="A41" s="92" t="s">
        <v>380</v>
      </c>
      <c r="B41" s="92" t="s">
        <v>493</v>
      </c>
    </row>
    <row r="42" spans="1:2" x14ac:dyDescent="0.25">
      <c r="A42" s="92" t="s">
        <v>381</v>
      </c>
      <c r="B42" s="92" t="s">
        <v>493</v>
      </c>
    </row>
    <row r="43" spans="1:2" x14ac:dyDescent="0.25">
      <c r="A43" s="92" t="s">
        <v>382</v>
      </c>
      <c r="B43" s="92" t="s">
        <v>493</v>
      </c>
    </row>
    <row r="44" spans="1:2" x14ac:dyDescent="0.25">
      <c r="A44" s="91" t="s">
        <v>495</v>
      </c>
      <c r="B44" s="91" t="s">
        <v>494</v>
      </c>
    </row>
    <row r="45" spans="1:2" x14ac:dyDescent="0.25">
      <c r="A45" s="91" t="s">
        <v>496</v>
      </c>
      <c r="B45" s="91" t="s">
        <v>494</v>
      </c>
    </row>
    <row r="46" spans="1:2" x14ac:dyDescent="0.25">
      <c r="A46" s="91" t="s">
        <v>497</v>
      </c>
      <c r="B46" s="91" t="s">
        <v>437</v>
      </c>
    </row>
    <row r="47" spans="1:2" x14ac:dyDescent="0.25">
      <c r="A47" s="91" t="s">
        <v>498</v>
      </c>
      <c r="B47" s="91" t="s">
        <v>437</v>
      </c>
    </row>
    <row r="48" spans="1:2" x14ac:dyDescent="0.25">
      <c r="A48" s="91" t="s">
        <v>500</v>
      </c>
      <c r="B48" s="91" t="s">
        <v>499</v>
      </c>
    </row>
    <row r="49" spans="1:2" x14ac:dyDescent="0.25">
      <c r="A49" s="91" t="s">
        <v>501</v>
      </c>
      <c r="B49" s="91" t="s">
        <v>499</v>
      </c>
    </row>
    <row r="50" spans="1:2" x14ac:dyDescent="0.25">
      <c r="A50" s="91" t="s">
        <v>502</v>
      </c>
      <c r="B50" s="91" t="s">
        <v>499</v>
      </c>
    </row>
    <row r="51" spans="1:2" x14ac:dyDescent="0.25">
      <c r="A51" s="91" t="s">
        <v>503</v>
      </c>
      <c r="B51" s="91" t="s">
        <v>499</v>
      </c>
    </row>
    <row r="52" spans="1:2" x14ac:dyDescent="0.25">
      <c r="A52" s="91" t="s">
        <v>504</v>
      </c>
      <c r="B52" s="91" t="s">
        <v>499</v>
      </c>
    </row>
    <row r="53" spans="1:2" x14ac:dyDescent="0.25">
      <c r="A53" s="91" t="s">
        <v>505</v>
      </c>
      <c r="B53" s="91" t="s">
        <v>499</v>
      </c>
    </row>
    <row r="54" spans="1:2" x14ac:dyDescent="0.25">
      <c r="A54" s="92" t="s">
        <v>383</v>
      </c>
      <c r="B54" s="92" t="s">
        <v>506</v>
      </c>
    </row>
    <row r="55" spans="1:2" x14ac:dyDescent="0.25">
      <c r="A55" s="92" t="s">
        <v>384</v>
      </c>
      <c r="B55" s="92" t="s">
        <v>506</v>
      </c>
    </row>
    <row r="56" spans="1:2" x14ac:dyDescent="0.25">
      <c r="A56" s="92" t="s">
        <v>385</v>
      </c>
      <c r="B56" s="92" t="s">
        <v>506</v>
      </c>
    </row>
    <row r="57" spans="1:2" x14ac:dyDescent="0.25">
      <c r="A57" s="91" t="s">
        <v>507</v>
      </c>
      <c r="B57" s="91" t="s">
        <v>432</v>
      </c>
    </row>
    <row r="58" spans="1:2" x14ac:dyDescent="0.25">
      <c r="A58" s="91" t="s">
        <v>509</v>
      </c>
      <c r="B58" s="91" t="s">
        <v>508</v>
      </c>
    </row>
    <row r="59" spans="1:2" x14ac:dyDescent="0.25">
      <c r="A59" s="91" t="s">
        <v>511</v>
      </c>
      <c r="B59" s="91" t="s">
        <v>510</v>
      </c>
    </row>
    <row r="60" spans="1:2" x14ac:dyDescent="0.25">
      <c r="A60" s="92" t="s">
        <v>386</v>
      </c>
      <c r="B60" s="92" t="s">
        <v>512</v>
      </c>
    </row>
    <row r="61" spans="1:2" x14ac:dyDescent="0.25">
      <c r="A61" s="91" t="s">
        <v>513</v>
      </c>
      <c r="B61" s="91" t="s">
        <v>428</v>
      </c>
    </row>
    <row r="62" spans="1:2" x14ac:dyDescent="0.25">
      <c r="A62" s="91" t="s">
        <v>514</v>
      </c>
      <c r="B62" s="91" t="s">
        <v>428</v>
      </c>
    </row>
    <row r="63" spans="1:2" x14ac:dyDescent="0.25">
      <c r="A63" s="91" t="s">
        <v>515</v>
      </c>
      <c r="B63" s="91" t="s">
        <v>428</v>
      </c>
    </row>
    <row r="64" spans="1:2" x14ac:dyDescent="0.25">
      <c r="A64" s="92" t="s">
        <v>387</v>
      </c>
      <c r="B64" s="92" t="s">
        <v>516</v>
      </c>
    </row>
    <row r="65" spans="1:2" x14ac:dyDescent="0.25">
      <c r="A65" s="92" t="s">
        <v>388</v>
      </c>
      <c r="B65" s="92" t="s">
        <v>516</v>
      </c>
    </row>
    <row r="66" spans="1:2" x14ac:dyDescent="0.25">
      <c r="A66" s="92" t="s">
        <v>389</v>
      </c>
      <c r="B66" s="92" t="s">
        <v>516</v>
      </c>
    </row>
    <row r="67" spans="1:2" x14ac:dyDescent="0.25">
      <c r="A67" s="92" t="s">
        <v>390</v>
      </c>
      <c r="B67" s="92" t="s">
        <v>516</v>
      </c>
    </row>
    <row r="68" spans="1:2" x14ac:dyDescent="0.25">
      <c r="A68" s="91" t="s">
        <v>518</v>
      </c>
      <c r="B68" s="91" t="s">
        <v>517</v>
      </c>
    </row>
    <row r="69" spans="1:2" x14ac:dyDescent="0.25">
      <c r="A69" s="91" t="s">
        <v>519</v>
      </c>
      <c r="B69" s="91" t="s">
        <v>517</v>
      </c>
    </row>
    <row r="70" spans="1:2" x14ac:dyDescent="0.25">
      <c r="A70" s="91" t="s">
        <v>520</v>
      </c>
      <c r="B70" s="91" t="s">
        <v>425</v>
      </c>
    </row>
    <row r="71" spans="1:2" x14ac:dyDescent="0.25">
      <c r="A71" s="91" t="s">
        <v>521</v>
      </c>
      <c r="B71" s="91" t="s">
        <v>425</v>
      </c>
    </row>
    <row r="72" spans="1:2" x14ac:dyDescent="0.25">
      <c r="A72" s="91" t="s">
        <v>522</v>
      </c>
      <c r="B72" s="91" t="s">
        <v>425</v>
      </c>
    </row>
    <row r="73" spans="1:2" x14ac:dyDescent="0.25">
      <c r="A73" s="91" t="s">
        <v>524</v>
      </c>
      <c r="B73" s="91" t="s">
        <v>523</v>
      </c>
    </row>
    <row r="74" spans="1:2" x14ac:dyDescent="0.25">
      <c r="A74" s="92" t="s">
        <v>391</v>
      </c>
      <c r="B74" s="92" t="s">
        <v>525</v>
      </c>
    </row>
    <row r="75" spans="1:2" x14ac:dyDescent="0.25">
      <c r="A75" s="92" t="s">
        <v>392</v>
      </c>
      <c r="B75" s="92" t="s">
        <v>525</v>
      </c>
    </row>
    <row r="76" spans="1:2" x14ac:dyDescent="0.25">
      <c r="A76" s="91" t="s">
        <v>527</v>
      </c>
      <c r="B76" s="91" t="s">
        <v>526</v>
      </c>
    </row>
    <row r="77" spans="1:2" x14ac:dyDescent="0.25">
      <c r="A77" s="91" t="s">
        <v>528</v>
      </c>
      <c r="B77" s="91" t="s">
        <v>526</v>
      </c>
    </row>
    <row r="78" spans="1:2" x14ac:dyDescent="0.25">
      <c r="A78" s="91" t="s">
        <v>529</v>
      </c>
      <c r="B78" s="91" t="s">
        <v>427</v>
      </c>
    </row>
    <row r="79" spans="1:2" x14ac:dyDescent="0.25">
      <c r="A79" s="91" t="s">
        <v>530</v>
      </c>
      <c r="B79" s="91" t="s">
        <v>427</v>
      </c>
    </row>
    <row r="80" spans="1:2" x14ac:dyDescent="0.25">
      <c r="A80" s="91" t="s">
        <v>532</v>
      </c>
      <c r="B80" s="91" t="s">
        <v>531</v>
      </c>
    </row>
    <row r="81" spans="1:2" x14ac:dyDescent="0.25">
      <c r="A81" s="92" t="s">
        <v>393</v>
      </c>
      <c r="B81" s="92" t="s">
        <v>533</v>
      </c>
    </row>
    <row r="82" spans="1:2" x14ac:dyDescent="0.25">
      <c r="A82" s="91" t="s">
        <v>535</v>
      </c>
      <c r="B82" s="91" t="s">
        <v>534</v>
      </c>
    </row>
    <row r="83" spans="1:2" x14ac:dyDescent="0.25">
      <c r="A83" s="91" t="s">
        <v>537</v>
      </c>
      <c r="B83" s="91" t="s">
        <v>536</v>
      </c>
    </row>
    <row r="84" spans="1:2" x14ac:dyDescent="0.25">
      <c r="A84" s="91" t="s">
        <v>539</v>
      </c>
      <c r="B84" s="91" t="s">
        <v>538</v>
      </c>
    </row>
    <row r="85" spans="1:2" x14ac:dyDescent="0.25">
      <c r="A85" s="91" t="s">
        <v>540</v>
      </c>
      <c r="B85" s="91" t="s">
        <v>538</v>
      </c>
    </row>
    <row r="86" spans="1:2" x14ac:dyDescent="0.25">
      <c r="A86" s="92" t="s">
        <v>394</v>
      </c>
      <c r="B86" s="92" t="s">
        <v>541</v>
      </c>
    </row>
    <row r="87" spans="1:2" x14ac:dyDescent="0.25">
      <c r="A87" s="92" t="s">
        <v>395</v>
      </c>
      <c r="B87" s="92" t="s">
        <v>541</v>
      </c>
    </row>
    <row r="88" spans="1:2" x14ac:dyDescent="0.25">
      <c r="A88" s="92" t="s">
        <v>396</v>
      </c>
      <c r="B88" s="92" t="s">
        <v>541</v>
      </c>
    </row>
    <row r="89" spans="1:2" x14ac:dyDescent="0.25">
      <c r="A89" s="92" t="s">
        <v>397</v>
      </c>
      <c r="B89" s="92" t="s">
        <v>541</v>
      </c>
    </row>
    <row r="90" spans="1:2" x14ac:dyDescent="0.25">
      <c r="A90" s="91" t="s">
        <v>543</v>
      </c>
      <c r="B90" s="91" t="s">
        <v>542</v>
      </c>
    </row>
    <row r="91" spans="1:2" x14ac:dyDescent="0.25">
      <c r="A91" s="91" t="s">
        <v>544</v>
      </c>
      <c r="B91" s="91" t="s">
        <v>542</v>
      </c>
    </row>
    <row r="92" spans="1:2" x14ac:dyDescent="0.25">
      <c r="A92" s="91" t="s">
        <v>545</v>
      </c>
      <c r="B92" s="91" t="s">
        <v>542</v>
      </c>
    </row>
    <row r="93" spans="1:2" x14ac:dyDescent="0.25">
      <c r="A93" s="91" t="s">
        <v>547</v>
      </c>
      <c r="B93" s="91" t="s">
        <v>546</v>
      </c>
    </row>
    <row r="94" spans="1:2" x14ac:dyDescent="0.25">
      <c r="A94" s="91" t="s">
        <v>548</v>
      </c>
      <c r="B94" s="91" t="s">
        <v>424</v>
      </c>
    </row>
    <row r="95" spans="1:2" x14ac:dyDescent="0.25">
      <c r="A95" s="91" t="s">
        <v>549</v>
      </c>
      <c r="B95" s="91" t="s">
        <v>424</v>
      </c>
    </row>
    <row r="96" spans="1:2" x14ac:dyDescent="0.25">
      <c r="A96" s="91" t="s">
        <v>550</v>
      </c>
      <c r="B96" s="91" t="s">
        <v>424</v>
      </c>
    </row>
    <row r="97" spans="1:2" x14ac:dyDescent="0.25">
      <c r="A97" s="91" t="s">
        <v>552</v>
      </c>
      <c r="B97" s="91" t="s">
        <v>551</v>
      </c>
    </row>
    <row r="98" spans="1:2" x14ac:dyDescent="0.25">
      <c r="A98" s="91" t="s">
        <v>554</v>
      </c>
      <c r="B98" s="91" t="s">
        <v>553</v>
      </c>
    </row>
    <row r="99" spans="1:2" x14ac:dyDescent="0.25">
      <c r="A99" s="92" t="s">
        <v>398</v>
      </c>
      <c r="B99" s="92" t="s">
        <v>555</v>
      </c>
    </row>
    <row r="100" spans="1:2" x14ac:dyDescent="0.25">
      <c r="A100" s="92" t="s">
        <v>399</v>
      </c>
      <c r="B100" s="92" t="s">
        <v>555</v>
      </c>
    </row>
    <row r="101" spans="1:2" x14ac:dyDescent="0.25">
      <c r="A101" s="91" t="s">
        <v>557</v>
      </c>
      <c r="B101" s="91" t="s">
        <v>556</v>
      </c>
    </row>
    <row r="102" spans="1:2" x14ac:dyDescent="0.25">
      <c r="A102" s="91" t="s">
        <v>558</v>
      </c>
      <c r="B102" s="91" t="s">
        <v>556</v>
      </c>
    </row>
    <row r="103" spans="1:2" x14ac:dyDescent="0.25">
      <c r="A103" s="91" t="s">
        <v>559</v>
      </c>
      <c r="B103" s="91" t="s">
        <v>556</v>
      </c>
    </row>
    <row r="104" spans="1:2" x14ac:dyDescent="0.25">
      <c r="A104" s="91" t="s">
        <v>560</v>
      </c>
      <c r="B104" s="91" t="s">
        <v>434</v>
      </c>
    </row>
    <row r="105" spans="1:2" x14ac:dyDescent="0.25">
      <c r="A105" s="91" t="s">
        <v>561</v>
      </c>
      <c r="B105" s="91" t="s">
        <v>434</v>
      </c>
    </row>
    <row r="106" spans="1:2" x14ac:dyDescent="0.25">
      <c r="A106" s="91" t="s">
        <v>563</v>
      </c>
      <c r="B106" s="91" t="s">
        <v>562</v>
      </c>
    </row>
    <row r="107" spans="1:2" x14ac:dyDescent="0.25">
      <c r="A107" s="92" t="s">
        <v>400</v>
      </c>
      <c r="B107" s="92" t="s">
        <v>564</v>
      </c>
    </row>
    <row r="108" spans="1:2" x14ac:dyDescent="0.25">
      <c r="A108" s="91" t="s">
        <v>566</v>
      </c>
      <c r="B108" s="91" t="s">
        <v>565</v>
      </c>
    </row>
    <row r="109" spans="1:2" x14ac:dyDescent="0.25">
      <c r="A109" s="91" t="s">
        <v>567</v>
      </c>
      <c r="B109" s="91" t="s">
        <v>565</v>
      </c>
    </row>
    <row r="110" spans="1:2" x14ac:dyDescent="0.25">
      <c r="A110" s="91" t="s">
        <v>568</v>
      </c>
      <c r="B110" s="91" t="s">
        <v>565</v>
      </c>
    </row>
    <row r="111" spans="1:2" x14ac:dyDescent="0.25">
      <c r="A111" s="91" t="s">
        <v>569</v>
      </c>
      <c r="B111" s="91" t="s">
        <v>435</v>
      </c>
    </row>
    <row r="112" spans="1:2" x14ac:dyDescent="0.25">
      <c r="A112" s="91" t="s">
        <v>570</v>
      </c>
      <c r="B112" s="91" t="s">
        <v>435</v>
      </c>
    </row>
    <row r="113" spans="1:2" x14ac:dyDescent="0.25">
      <c r="A113" s="91" t="s">
        <v>571</v>
      </c>
      <c r="B113" s="91" t="s">
        <v>435</v>
      </c>
    </row>
    <row r="114" spans="1:2" x14ac:dyDescent="0.25">
      <c r="A114" s="91" t="s">
        <v>572</v>
      </c>
      <c r="B114" s="91" t="s">
        <v>435</v>
      </c>
    </row>
    <row r="115" spans="1:2" x14ac:dyDescent="0.25">
      <c r="A115" s="91" t="s">
        <v>573</v>
      </c>
      <c r="B115" s="91" t="s">
        <v>435</v>
      </c>
    </row>
    <row r="116" spans="1:2" x14ac:dyDescent="0.25">
      <c r="A116" s="91" t="s">
        <v>575</v>
      </c>
      <c r="B116" s="91" t="s">
        <v>574</v>
      </c>
    </row>
    <row r="117" spans="1:2" x14ac:dyDescent="0.25">
      <c r="A117" s="91" t="s">
        <v>576</v>
      </c>
      <c r="B117" s="91" t="s">
        <v>574</v>
      </c>
    </row>
    <row r="118" spans="1:2" x14ac:dyDescent="0.25">
      <c r="A118" s="91" t="s">
        <v>577</v>
      </c>
      <c r="B118" s="91" t="s">
        <v>574</v>
      </c>
    </row>
    <row r="119" spans="1:2" x14ac:dyDescent="0.25">
      <c r="A119" s="91" t="s">
        <v>578</v>
      </c>
      <c r="B119" s="91" t="s">
        <v>574</v>
      </c>
    </row>
    <row r="120" spans="1:2" x14ac:dyDescent="0.25">
      <c r="A120" s="92" t="s">
        <v>401</v>
      </c>
      <c r="B120" s="92" t="s">
        <v>579</v>
      </c>
    </row>
    <row r="121" spans="1:2" x14ac:dyDescent="0.25">
      <c r="A121" s="92" t="s">
        <v>402</v>
      </c>
      <c r="B121" s="92" t="s">
        <v>579</v>
      </c>
    </row>
    <row r="122" spans="1:2" x14ac:dyDescent="0.25">
      <c r="A122" s="91" t="s">
        <v>581</v>
      </c>
      <c r="B122" s="91" t="s">
        <v>580</v>
      </c>
    </row>
    <row r="123" spans="1:2" x14ac:dyDescent="0.25">
      <c r="A123" s="91" t="s">
        <v>583</v>
      </c>
      <c r="B123" s="91" t="s">
        <v>582</v>
      </c>
    </row>
    <row r="124" spans="1:2" x14ac:dyDescent="0.25">
      <c r="A124" s="91" t="s">
        <v>585</v>
      </c>
      <c r="B124" s="91" t="s">
        <v>584</v>
      </c>
    </row>
    <row r="125" spans="1:2" x14ac:dyDescent="0.25">
      <c r="A125" s="91" t="s">
        <v>586</v>
      </c>
      <c r="B125" s="91" t="s">
        <v>426</v>
      </c>
    </row>
    <row r="126" spans="1:2" x14ac:dyDescent="0.25">
      <c r="A126" s="92" t="s">
        <v>403</v>
      </c>
      <c r="B126" s="92" t="s">
        <v>587</v>
      </c>
    </row>
    <row r="127" spans="1:2" x14ac:dyDescent="0.25">
      <c r="A127" s="92" t="s">
        <v>404</v>
      </c>
      <c r="B127" s="92" t="s">
        <v>587</v>
      </c>
    </row>
    <row r="128" spans="1:2" x14ac:dyDescent="0.25">
      <c r="A128" s="92" t="s">
        <v>405</v>
      </c>
      <c r="B128" s="92" t="s">
        <v>587</v>
      </c>
    </row>
    <row r="129" spans="1:2" x14ac:dyDescent="0.25">
      <c r="A129" s="91" t="s">
        <v>589</v>
      </c>
      <c r="B129" s="91" t="s">
        <v>588</v>
      </c>
    </row>
    <row r="130" spans="1:2" x14ac:dyDescent="0.25">
      <c r="A130" s="91" t="s">
        <v>590</v>
      </c>
      <c r="B130" s="91" t="s">
        <v>588</v>
      </c>
    </row>
    <row r="131" spans="1:2" x14ac:dyDescent="0.25">
      <c r="A131" s="91" t="s">
        <v>591</v>
      </c>
      <c r="B131" s="91" t="s">
        <v>588</v>
      </c>
    </row>
    <row r="132" spans="1:2" x14ac:dyDescent="0.25">
      <c r="A132" s="91" t="s">
        <v>592</v>
      </c>
      <c r="B132" s="91" t="s">
        <v>433</v>
      </c>
    </row>
    <row r="133" spans="1:2" x14ac:dyDescent="0.25">
      <c r="A133" s="91" t="s">
        <v>594</v>
      </c>
      <c r="B133" s="91" t="s">
        <v>593</v>
      </c>
    </row>
    <row r="134" spans="1:2" x14ac:dyDescent="0.25">
      <c r="A134" s="91" t="s">
        <v>595</v>
      </c>
      <c r="B134" s="91" t="s">
        <v>593</v>
      </c>
    </row>
    <row r="135" spans="1:2" x14ac:dyDescent="0.25">
      <c r="A135" s="91" t="s">
        <v>596</v>
      </c>
      <c r="B135" s="91" t="s">
        <v>593</v>
      </c>
    </row>
    <row r="136" spans="1:2" x14ac:dyDescent="0.25">
      <c r="A136" s="92" t="s">
        <v>406</v>
      </c>
      <c r="B136" s="92" t="s">
        <v>597</v>
      </c>
    </row>
    <row r="137" spans="1:2" x14ac:dyDescent="0.25">
      <c r="A137" s="92" t="s">
        <v>407</v>
      </c>
      <c r="B137" s="92" t="s">
        <v>597</v>
      </c>
    </row>
    <row r="138" spans="1:2" x14ac:dyDescent="0.25">
      <c r="A138" s="91" t="s">
        <v>599</v>
      </c>
      <c r="B138" s="91" t="s">
        <v>598</v>
      </c>
    </row>
    <row r="139" spans="1:2" x14ac:dyDescent="0.25">
      <c r="A139" s="91" t="s">
        <v>601</v>
      </c>
      <c r="B139" s="91" t="s">
        <v>600</v>
      </c>
    </row>
    <row r="140" spans="1:2" x14ac:dyDescent="0.25">
      <c r="A140" s="92" t="s">
        <v>408</v>
      </c>
      <c r="B140" s="92" t="s">
        <v>602</v>
      </c>
    </row>
    <row r="141" spans="1:2" x14ac:dyDescent="0.25">
      <c r="A141" s="91" t="s">
        <v>603</v>
      </c>
      <c r="B141" s="91" t="s">
        <v>440</v>
      </c>
    </row>
    <row r="142" spans="1:2" x14ac:dyDescent="0.25">
      <c r="A142" s="91" t="s">
        <v>604</v>
      </c>
      <c r="B142" s="91" t="s">
        <v>440</v>
      </c>
    </row>
    <row r="143" spans="1:2" x14ac:dyDescent="0.25">
      <c r="A143" s="91" t="s">
        <v>606</v>
      </c>
      <c r="B143" s="91" t="s">
        <v>605</v>
      </c>
    </row>
    <row r="144" spans="1:2" x14ac:dyDescent="0.25">
      <c r="A144" s="91" t="s">
        <v>607</v>
      </c>
      <c r="B144" s="91" t="s">
        <v>605</v>
      </c>
    </row>
    <row r="145" spans="1:2" x14ac:dyDescent="0.25">
      <c r="A145" s="91" t="s">
        <v>609</v>
      </c>
      <c r="B145" s="91" t="s">
        <v>608</v>
      </c>
    </row>
    <row r="146" spans="1:2" x14ac:dyDescent="0.25">
      <c r="A146" s="91" t="s">
        <v>611</v>
      </c>
      <c r="B146" s="91" t="s">
        <v>610</v>
      </c>
    </row>
    <row r="147" spans="1:2" x14ac:dyDescent="0.25">
      <c r="A147" s="91" t="s">
        <v>612</v>
      </c>
      <c r="B147" s="91" t="s">
        <v>610</v>
      </c>
    </row>
    <row r="148" spans="1:2" x14ac:dyDescent="0.25">
      <c r="A148" s="91" t="s">
        <v>614</v>
      </c>
      <c r="B148" s="91" t="s">
        <v>613</v>
      </c>
    </row>
    <row r="149" spans="1:2" x14ac:dyDescent="0.25">
      <c r="A149" s="91" t="s">
        <v>616</v>
      </c>
      <c r="B149" s="91" t="s">
        <v>615</v>
      </c>
    </row>
    <row r="150" spans="1:2" x14ac:dyDescent="0.25">
      <c r="A150" s="91" t="s">
        <v>618</v>
      </c>
      <c r="B150" s="91" t="s">
        <v>617</v>
      </c>
    </row>
    <row r="151" spans="1:2" x14ac:dyDescent="0.25">
      <c r="A151" s="92" t="s">
        <v>409</v>
      </c>
      <c r="B151" s="92" t="s">
        <v>619</v>
      </c>
    </row>
    <row r="152" spans="1:2" x14ac:dyDescent="0.25">
      <c r="A152" s="92" t="s">
        <v>410</v>
      </c>
      <c r="B152" s="92" t="s">
        <v>619</v>
      </c>
    </row>
    <row r="153" spans="1:2" x14ac:dyDescent="0.25">
      <c r="A153" s="92" t="s">
        <v>411</v>
      </c>
      <c r="B153" s="92" t="s">
        <v>619</v>
      </c>
    </row>
    <row r="154" spans="1:2" x14ac:dyDescent="0.25">
      <c r="A154" s="91" t="s">
        <v>621</v>
      </c>
      <c r="B154" s="91" t="s">
        <v>620</v>
      </c>
    </row>
    <row r="155" spans="1:2" x14ac:dyDescent="0.25">
      <c r="A155" s="91" t="s">
        <v>622</v>
      </c>
      <c r="B155" s="91" t="s">
        <v>620</v>
      </c>
    </row>
    <row r="156" spans="1:2" x14ac:dyDescent="0.25">
      <c r="A156" s="91" t="s">
        <v>623</v>
      </c>
      <c r="B156" s="91" t="s">
        <v>620</v>
      </c>
    </row>
    <row r="157" spans="1:2" x14ac:dyDescent="0.25">
      <c r="A157" s="91" t="s">
        <v>625</v>
      </c>
      <c r="B157" s="91" t="s">
        <v>624</v>
      </c>
    </row>
    <row r="158" spans="1:2" x14ac:dyDescent="0.25">
      <c r="A158" s="91" t="s">
        <v>627</v>
      </c>
      <c r="B158" s="91" t="s">
        <v>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3"/>
  <dimension ref="A1:R38"/>
  <sheetViews>
    <sheetView workbookViewId="0">
      <selection activeCell="B30" sqref="B30"/>
    </sheetView>
  </sheetViews>
  <sheetFormatPr defaultColWidth="9.140625" defaultRowHeight="18.75" x14ac:dyDescent="0.3"/>
  <cols>
    <col min="1" max="1" width="33.7109375" style="32" customWidth="1"/>
    <col min="2" max="8" width="8.7109375" style="32" customWidth="1"/>
    <col min="9" max="9" width="35.5703125" style="34" customWidth="1"/>
    <col min="10" max="16" width="8.7109375" style="32" customWidth="1"/>
    <col min="17" max="17" width="40.7109375" style="34" customWidth="1"/>
    <col min="18" max="18" width="28.7109375" style="32" customWidth="1"/>
    <col min="19" max="16384" width="9.140625" style="32"/>
  </cols>
  <sheetData>
    <row r="1" spans="1:18" s="31" customFormat="1" ht="37.5" x14ac:dyDescent="0.25">
      <c r="A1" s="33" t="s">
        <v>12</v>
      </c>
      <c r="B1" s="33" t="s">
        <v>178</v>
      </c>
      <c r="C1" s="33" t="s">
        <v>179</v>
      </c>
      <c r="D1" s="33" t="s">
        <v>180</v>
      </c>
      <c r="E1" s="33" t="s">
        <v>181</v>
      </c>
      <c r="F1" s="33" t="s">
        <v>178</v>
      </c>
      <c r="G1" s="33" t="s">
        <v>179</v>
      </c>
      <c r="H1" s="33" t="s">
        <v>180</v>
      </c>
      <c r="I1" s="33" t="s">
        <v>13</v>
      </c>
      <c r="J1" s="33" t="s">
        <v>178</v>
      </c>
      <c r="K1" s="33" t="s">
        <v>179</v>
      </c>
      <c r="L1" s="33" t="s">
        <v>180</v>
      </c>
      <c r="M1" s="33" t="s">
        <v>181</v>
      </c>
      <c r="N1" s="33" t="s">
        <v>178</v>
      </c>
      <c r="O1" s="33" t="s">
        <v>179</v>
      </c>
      <c r="P1" s="33" t="s">
        <v>180</v>
      </c>
      <c r="Q1" s="33" t="s">
        <v>14</v>
      </c>
      <c r="R1" s="33" t="s">
        <v>16</v>
      </c>
    </row>
    <row r="2" spans="1:18" s="31" customFormat="1" ht="56.25" x14ac:dyDescent="0.25">
      <c r="A2" s="53" t="s">
        <v>20</v>
      </c>
      <c r="B2" s="48" t="s">
        <v>184</v>
      </c>
      <c r="C2" s="48" t="s">
        <v>223</v>
      </c>
      <c r="D2" s="48">
        <v>16</v>
      </c>
      <c r="E2" s="48" t="s">
        <v>348</v>
      </c>
      <c r="F2" s="48" t="s">
        <v>202</v>
      </c>
      <c r="G2" s="48" t="s">
        <v>222</v>
      </c>
      <c r="H2" s="48">
        <v>16</v>
      </c>
      <c r="I2" s="21" t="str">
        <f>CONCATENATE("« ",B2," »  ",C2, " 20",D2," г.  (приказ о зачислении № ",E2," от « ",F2," » ",G2," 20",H2," г.)")</f>
        <v>« 01 »  сентября 2016 г.  (приказ о зачислении № 962-08 от « 19 » августа 2016 г.)</v>
      </c>
      <c r="J2" s="48" t="s">
        <v>18</v>
      </c>
      <c r="K2" s="48" t="s">
        <v>182</v>
      </c>
      <c r="L2" s="48" t="s">
        <v>183</v>
      </c>
      <c r="M2" s="48" t="s">
        <v>244</v>
      </c>
      <c r="N2" s="48" t="s">
        <v>18</v>
      </c>
      <c r="O2" s="48" t="s">
        <v>182</v>
      </c>
      <c r="P2" s="48" t="s">
        <v>183</v>
      </c>
      <c r="Q2" s="21" t="str">
        <f>CONCATENATE("« ",J2," »  ",K2, " 20",L2," г.  (приказ об отчислении № ",M2," от « ",N2," » ",O2," 20",P2," г.)")</f>
        <v>« Дата »  Месяц 20Год г.  (приказ об отчислении № ??? от « Дата » Месяц 20Год г.)</v>
      </c>
      <c r="R2" s="21" t="s">
        <v>21</v>
      </c>
    </row>
    <row r="3" spans="1:18" s="31" customFormat="1" ht="75" x14ac:dyDescent="0.25">
      <c r="A3" s="54" t="s">
        <v>321</v>
      </c>
      <c r="B3" s="55" t="s">
        <v>214</v>
      </c>
      <c r="C3" s="55" t="s">
        <v>224</v>
      </c>
      <c r="D3" s="55">
        <v>16</v>
      </c>
      <c r="E3" s="55" t="s">
        <v>349</v>
      </c>
      <c r="F3" s="55" t="s">
        <v>214</v>
      </c>
      <c r="G3" s="55" t="s">
        <v>224</v>
      </c>
      <c r="H3" s="55">
        <v>16</v>
      </c>
      <c r="I3" s="56" t="str">
        <f t="shared" ref="I3:I28" si="0">CONCATENATE("« ",B3," »  ",C3, " 20",D3," г.  (приказ о зачислении № ",E3," от « ",F3," » ",G3," 20",H3," г.)")</f>
        <v>« 31 »  октября 2016 г.  (приказ о зачислении № 1402-08 от « 31 » октября 2016 г.)</v>
      </c>
      <c r="J3" s="55" t="s">
        <v>18</v>
      </c>
      <c r="K3" s="55" t="s">
        <v>182</v>
      </c>
      <c r="L3" s="55" t="s">
        <v>183</v>
      </c>
      <c r="M3" s="55" t="s">
        <v>244</v>
      </c>
      <c r="N3" s="55" t="s">
        <v>18</v>
      </c>
      <c r="O3" s="55" t="s">
        <v>182</v>
      </c>
      <c r="P3" s="55" t="s">
        <v>183</v>
      </c>
      <c r="Q3" s="56" t="str">
        <f t="shared" ref="Q3:Q28" si="1">CONCATENATE("« ",J3," »  ",K3, " 20",L3," г.  (приказ об отчислении № ",M3," от « ",N3," » ",O3," 20",P3," г.)")</f>
        <v>« Дата »  Месяц 20Год г.  (приказ об отчислении № ??? от « Дата » Месяц 20Год г.)</v>
      </c>
      <c r="R3" s="57" t="s">
        <v>22</v>
      </c>
    </row>
    <row r="4" spans="1:18" s="31" customFormat="1" ht="56.25" x14ac:dyDescent="0.25">
      <c r="A4" s="53" t="s">
        <v>245</v>
      </c>
      <c r="B4" s="48" t="s">
        <v>184</v>
      </c>
      <c r="C4" s="48" t="s">
        <v>223</v>
      </c>
      <c r="D4" s="48">
        <v>16</v>
      </c>
      <c r="E4" s="48" t="s">
        <v>348</v>
      </c>
      <c r="F4" s="48" t="s">
        <v>202</v>
      </c>
      <c r="G4" s="48" t="s">
        <v>222</v>
      </c>
      <c r="H4" s="48">
        <v>16</v>
      </c>
      <c r="I4" s="21" t="str">
        <f t="shared" si="0"/>
        <v>« 01 »  сентября 2016 г.  (приказ о зачислении № 962-08 от « 19 » августа 2016 г.)</v>
      </c>
      <c r="J4" s="48" t="s">
        <v>18</v>
      </c>
      <c r="K4" s="48" t="s">
        <v>182</v>
      </c>
      <c r="L4" s="48" t="s">
        <v>183</v>
      </c>
      <c r="M4" s="48" t="s">
        <v>244</v>
      </c>
      <c r="N4" s="48" t="s">
        <v>18</v>
      </c>
      <c r="O4" s="48" t="s">
        <v>182</v>
      </c>
      <c r="P4" s="48" t="s">
        <v>183</v>
      </c>
      <c r="Q4" s="21" t="str">
        <f t="shared" si="1"/>
        <v>« Дата »  Месяц 20Год г.  (приказ об отчислении № ??? от « Дата » Месяц 20Год г.)</v>
      </c>
      <c r="R4" s="21" t="s">
        <v>23</v>
      </c>
    </row>
    <row r="5" spans="1:18" s="31" customFormat="1" ht="56.25" x14ac:dyDescent="0.25">
      <c r="A5" s="53" t="s">
        <v>247</v>
      </c>
      <c r="B5" s="48" t="s">
        <v>184</v>
      </c>
      <c r="C5" s="48" t="s">
        <v>223</v>
      </c>
      <c r="D5" s="48">
        <v>16</v>
      </c>
      <c r="E5" s="48" t="s">
        <v>348</v>
      </c>
      <c r="F5" s="48" t="s">
        <v>202</v>
      </c>
      <c r="G5" s="48" t="s">
        <v>222</v>
      </c>
      <c r="H5" s="48">
        <v>16</v>
      </c>
      <c r="I5" s="21" t="str">
        <f t="shared" si="0"/>
        <v>« 01 »  сентября 2016 г.  (приказ о зачислении № 962-08 от « 19 » августа 2016 г.)</v>
      </c>
      <c r="J5" s="48" t="s">
        <v>18</v>
      </c>
      <c r="K5" s="48" t="s">
        <v>182</v>
      </c>
      <c r="L5" s="48" t="s">
        <v>183</v>
      </c>
      <c r="M5" s="48" t="s">
        <v>244</v>
      </c>
      <c r="N5" s="48" t="s">
        <v>18</v>
      </c>
      <c r="O5" s="48" t="s">
        <v>182</v>
      </c>
      <c r="P5" s="48" t="s">
        <v>183</v>
      </c>
      <c r="Q5" s="21" t="str">
        <f t="shared" si="1"/>
        <v>« Дата »  Месяц 20Год г.  (приказ об отчислении № ??? от « Дата » Месяц 20Год г.)</v>
      </c>
      <c r="R5" s="21" t="s">
        <v>25</v>
      </c>
    </row>
    <row r="6" spans="1:18" s="31" customFormat="1" ht="56.25" x14ac:dyDescent="0.25">
      <c r="A6" s="53" t="s">
        <v>248</v>
      </c>
      <c r="B6" s="48" t="s">
        <v>184</v>
      </c>
      <c r="C6" s="48" t="s">
        <v>223</v>
      </c>
      <c r="D6" s="48">
        <v>16</v>
      </c>
      <c r="E6" s="48" t="s">
        <v>348</v>
      </c>
      <c r="F6" s="48" t="s">
        <v>202</v>
      </c>
      <c r="G6" s="48" t="s">
        <v>222</v>
      </c>
      <c r="H6" s="48">
        <v>16</v>
      </c>
      <c r="I6" s="21" t="str">
        <f t="shared" si="0"/>
        <v>« 01 »  сентября 2016 г.  (приказ о зачислении № 962-08 от « 19 » августа 2016 г.)</v>
      </c>
      <c r="J6" s="48" t="s">
        <v>18</v>
      </c>
      <c r="K6" s="48" t="s">
        <v>182</v>
      </c>
      <c r="L6" s="48" t="s">
        <v>183</v>
      </c>
      <c r="M6" s="48" t="s">
        <v>244</v>
      </c>
      <c r="N6" s="48" t="s">
        <v>18</v>
      </c>
      <c r="O6" s="48" t="s">
        <v>182</v>
      </c>
      <c r="P6" s="48" t="s">
        <v>183</v>
      </c>
      <c r="Q6" s="21" t="str">
        <f t="shared" si="1"/>
        <v>« Дата »  Месяц 20Год г.  (приказ об отчислении № ??? от « Дата » Месяц 20Год г.)</v>
      </c>
      <c r="R6" s="21" t="s">
        <v>26</v>
      </c>
    </row>
    <row r="7" spans="1:18" s="31" customFormat="1" ht="56.25" x14ac:dyDescent="0.25">
      <c r="A7" s="53" t="s">
        <v>249</v>
      </c>
      <c r="B7" s="48" t="s">
        <v>184</v>
      </c>
      <c r="C7" s="48" t="s">
        <v>223</v>
      </c>
      <c r="D7" s="48">
        <v>16</v>
      </c>
      <c r="E7" s="48" t="s">
        <v>348</v>
      </c>
      <c r="F7" s="48" t="s">
        <v>202</v>
      </c>
      <c r="G7" s="48" t="s">
        <v>222</v>
      </c>
      <c r="H7" s="48">
        <v>16</v>
      </c>
      <c r="I7" s="21" t="str">
        <f t="shared" si="0"/>
        <v>« 01 »  сентября 2016 г.  (приказ о зачислении № 962-08 от « 19 » августа 2016 г.)</v>
      </c>
      <c r="J7" s="48" t="s">
        <v>18</v>
      </c>
      <c r="K7" s="48" t="s">
        <v>182</v>
      </c>
      <c r="L7" s="48" t="s">
        <v>183</v>
      </c>
      <c r="M7" s="48" t="s">
        <v>244</v>
      </c>
      <c r="N7" s="48" t="s">
        <v>18</v>
      </c>
      <c r="O7" s="48" t="s">
        <v>182</v>
      </c>
      <c r="P7" s="48" t="s">
        <v>183</v>
      </c>
      <c r="Q7" s="21" t="str">
        <f t="shared" si="1"/>
        <v>« Дата »  Месяц 20Год г.  (приказ об отчислении № ??? от « Дата » Месяц 20Год г.)</v>
      </c>
      <c r="R7" s="21" t="s">
        <v>27</v>
      </c>
    </row>
    <row r="8" spans="1:18" s="31" customFormat="1" ht="56.25" x14ac:dyDescent="0.25">
      <c r="A8" s="53" t="s">
        <v>250</v>
      </c>
      <c r="B8" s="48" t="s">
        <v>184</v>
      </c>
      <c r="C8" s="48" t="s">
        <v>223</v>
      </c>
      <c r="D8" s="48">
        <v>16</v>
      </c>
      <c r="E8" s="48" t="s">
        <v>348</v>
      </c>
      <c r="F8" s="48" t="s">
        <v>202</v>
      </c>
      <c r="G8" s="48" t="s">
        <v>222</v>
      </c>
      <c r="H8" s="48">
        <v>16</v>
      </c>
      <c r="I8" s="21" t="str">
        <f t="shared" si="0"/>
        <v>« 01 »  сентября 2016 г.  (приказ о зачислении № 962-08 от « 19 » августа 2016 г.)</v>
      </c>
      <c r="J8" s="48" t="s">
        <v>18</v>
      </c>
      <c r="K8" s="48" t="s">
        <v>182</v>
      </c>
      <c r="L8" s="48" t="s">
        <v>183</v>
      </c>
      <c r="M8" s="48" t="s">
        <v>244</v>
      </c>
      <c r="N8" s="48" t="s">
        <v>18</v>
      </c>
      <c r="O8" s="48" t="s">
        <v>182</v>
      </c>
      <c r="P8" s="48" t="s">
        <v>183</v>
      </c>
      <c r="Q8" s="21" t="str">
        <f t="shared" si="1"/>
        <v>« Дата »  Месяц 20Год г.  (приказ об отчислении № ??? от « Дата » Месяц 20Год г.)</v>
      </c>
      <c r="R8" s="21" t="s">
        <v>28</v>
      </c>
    </row>
    <row r="9" spans="1:18" s="31" customFormat="1" ht="56.25" x14ac:dyDescent="0.25">
      <c r="A9" s="53" t="s">
        <v>251</v>
      </c>
      <c r="B9" s="48" t="s">
        <v>184</v>
      </c>
      <c r="C9" s="48" t="s">
        <v>223</v>
      </c>
      <c r="D9" s="48">
        <v>16</v>
      </c>
      <c r="E9" s="48" t="s">
        <v>348</v>
      </c>
      <c r="F9" s="48" t="s">
        <v>202</v>
      </c>
      <c r="G9" s="48" t="s">
        <v>222</v>
      </c>
      <c r="H9" s="48">
        <v>16</v>
      </c>
      <c r="I9" s="21" t="str">
        <f t="shared" si="0"/>
        <v>« 01 »  сентября 2016 г.  (приказ о зачислении № 962-08 от « 19 » августа 2016 г.)</v>
      </c>
      <c r="J9" s="48" t="s">
        <v>18</v>
      </c>
      <c r="K9" s="48" t="s">
        <v>182</v>
      </c>
      <c r="L9" s="48" t="s">
        <v>183</v>
      </c>
      <c r="M9" s="48" t="s">
        <v>244</v>
      </c>
      <c r="N9" s="48" t="s">
        <v>18</v>
      </c>
      <c r="O9" s="48" t="s">
        <v>182</v>
      </c>
      <c r="P9" s="48" t="s">
        <v>183</v>
      </c>
      <c r="Q9" s="21" t="str">
        <f t="shared" si="1"/>
        <v>« Дата »  Месяц 20Год г.  (приказ об отчислении № ??? от « Дата » Месяц 20Год г.)</v>
      </c>
      <c r="R9" s="21" t="s">
        <v>29</v>
      </c>
    </row>
    <row r="10" spans="1:18" s="31" customFormat="1" ht="56.25" x14ac:dyDescent="0.25">
      <c r="A10" s="54" t="s">
        <v>320</v>
      </c>
      <c r="B10" s="55" t="s">
        <v>184</v>
      </c>
      <c r="C10" s="55" t="s">
        <v>223</v>
      </c>
      <c r="D10" s="55">
        <v>16</v>
      </c>
      <c r="E10" s="55" t="s">
        <v>348</v>
      </c>
      <c r="F10" s="55" t="s">
        <v>202</v>
      </c>
      <c r="G10" s="55" t="s">
        <v>222</v>
      </c>
      <c r="H10" s="55">
        <v>16</v>
      </c>
      <c r="I10" s="56" t="str">
        <f t="shared" si="0"/>
        <v>« 01 »  сентября 2016 г.  (приказ о зачислении № 962-08 от « 19 » августа 2016 г.)</v>
      </c>
      <c r="J10" s="55" t="s">
        <v>18</v>
      </c>
      <c r="K10" s="55" t="s">
        <v>182</v>
      </c>
      <c r="L10" s="55" t="s">
        <v>183</v>
      </c>
      <c r="M10" s="55" t="s">
        <v>244</v>
      </c>
      <c r="N10" s="55" t="s">
        <v>18</v>
      </c>
      <c r="O10" s="55" t="s">
        <v>182</v>
      </c>
      <c r="P10" s="55" t="s">
        <v>183</v>
      </c>
      <c r="Q10" s="56" t="str">
        <f t="shared" si="1"/>
        <v>« Дата »  Месяц 20Год г.  (приказ об отчислении № ??? от « Дата » Месяц 20Год г.)</v>
      </c>
      <c r="R10" s="57" t="s">
        <v>30</v>
      </c>
    </row>
    <row r="11" spans="1:18" s="31" customFormat="1" ht="75" x14ac:dyDescent="0.25">
      <c r="A11" s="53" t="s">
        <v>252</v>
      </c>
      <c r="B11" s="48" t="s">
        <v>184</v>
      </c>
      <c r="C11" s="48" t="s">
        <v>223</v>
      </c>
      <c r="D11" s="48">
        <v>15</v>
      </c>
      <c r="E11" s="48" t="s">
        <v>350</v>
      </c>
      <c r="F11" s="48" t="s">
        <v>201</v>
      </c>
      <c r="G11" s="48" t="s">
        <v>222</v>
      </c>
      <c r="H11" s="48">
        <v>15</v>
      </c>
      <c r="I11" s="21" t="str">
        <f t="shared" si="0"/>
        <v>« 01 »  сентября 2015 г.  (приказ о зачислении № 1016-08 от « 18 » августа 2015 г.)</v>
      </c>
      <c r="J11" s="48" t="s">
        <v>18</v>
      </c>
      <c r="K11" s="48" t="s">
        <v>182</v>
      </c>
      <c r="L11" s="48" t="s">
        <v>183</v>
      </c>
      <c r="M11" s="48" t="s">
        <v>244</v>
      </c>
      <c r="N11" s="48" t="s">
        <v>18</v>
      </c>
      <c r="O11" s="48" t="s">
        <v>182</v>
      </c>
      <c r="P11" s="48" t="s">
        <v>183</v>
      </c>
      <c r="Q11" s="21" t="str">
        <f t="shared" si="1"/>
        <v>« Дата »  Месяц 20Год г.  (приказ об отчислении № ??? от « Дата » Месяц 20Год г.)</v>
      </c>
      <c r="R11" s="21" t="s">
        <v>31</v>
      </c>
    </row>
    <row r="12" spans="1:18" s="31" customFormat="1" ht="56.25" x14ac:dyDescent="0.25">
      <c r="A12" s="53" t="s">
        <v>337</v>
      </c>
      <c r="B12" s="48" t="s">
        <v>184</v>
      </c>
      <c r="C12" s="48" t="s">
        <v>223</v>
      </c>
      <c r="D12" s="48">
        <v>16</v>
      </c>
      <c r="E12" s="48" t="s">
        <v>348</v>
      </c>
      <c r="F12" s="48" t="s">
        <v>202</v>
      </c>
      <c r="G12" s="48" t="s">
        <v>222</v>
      </c>
      <c r="H12" s="48">
        <v>16</v>
      </c>
      <c r="I12" s="21" t="str">
        <f t="shared" si="0"/>
        <v>« 01 »  сентября 2016 г.  (приказ о зачислении № 962-08 от « 19 » августа 2016 г.)</v>
      </c>
      <c r="J12" s="48" t="s">
        <v>18</v>
      </c>
      <c r="K12" s="48" t="s">
        <v>182</v>
      </c>
      <c r="L12" s="48" t="s">
        <v>183</v>
      </c>
      <c r="M12" s="48" t="s">
        <v>244</v>
      </c>
      <c r="N12" s="48" t="s">
        <v>18</v>
      </c>
      <c r="O12" s="48" t="s">
        <v>182</v>
      </c>
      <c r="P12" s="48" t="s">
        <v>183</v>
      </c>
      <c r="Q12" s="21" t="str">
        <f t="shared" si="1"/>
        <v>« Дата »  Месяц 20Год г.  (приказ об отчислении № ??? от « Дата » Месяц 20Год г.)</v>
      </c>
      <c r="R12" s="21" t="s">
        <v>338</v>
      </c>
    </row>
    <row r="13" spans="1:18" s="31" customFormat="1" ht="56.25" x14ac:dyDescent="0.25">
      <c r="A13" s="53" t="s">
        <v>253</v>
      </c>
      <c r="B13" s="48" t="s">
        <v>184</v>
      </c>
      <c r="C13" s="48" t="s">
        <v>223</v>
      </c>
      <c r="D13" s="48">
        <v>16</v>
      </c>
      <c r="E13" s="48" t="s">
        <v>348</v>
      </c>
      <c r="F13" s="48" t="s">
        <v>202</v>
      </c>
      <c r="G13" s="48" t="s">
        <v>222</v>
      </c>
      <c r="H13" s="48">
        <v>16</v>
      </c>
      <c r="I13" s="21" t="str">
        <f t="shared" si="0"/>
        <v>« 01 »  сентября 2016 г.  (приказ о зачислении № 962-08 от « 19 » августа 2016 г.)</v>
      </c>
      <c r="J13" s="48" t="s">
        <v>18</v>
      </c>
      <c r="K13" s="48" t="s">
        <v>182</v>
      </c>
      <c r="L13" s="48" t="s">
        <v>183</v>
      </c>
      <c r="M13" s="48" t="s">
        <v>244</v>
      </c>
      <c r="N13" s="48" t="s">
        <v>18</v>
      </c>
      <c r="O13" s="48" t="s">
        <v>182</v>
      </c>
      <c r="P13" s="48" t="s">
        <v>183</v>
      </c>
      <c r="Q13" s="21" t="str">
        <f t="shared" si="1"/>
        <v>« Дата »  Месяц 20Год г.  (приказ об отчислении № ??? от « Дата » Месяц 20Год г.)</v>
      </c>
      <c r="R13" s="21" t="s">
        <v>32</v>
      </c>
    </row>
    <row r="14" spans="1:18" s="31" customFormat="1" ht="56.25" x14ac:dyDescent="0.25">
      <c r="A14" s="53" t="s">
        <v>254</v>
      </c>
      <c r="B14" s="48" t="s">
        <v>184</v>
      </c>
      <c r="C14" s="48" t="s">
        <v>223</v>
      </c>
      <c r="D14" s="48">
        <v>16</v>
      </c>
      <c r="E14" s="48" t="s">
        <v>348</v>
      </c>
      <c r="F14" s="48" t="s">
        <v>202</v>
      </c>
      <c r="G14" s="48" t="s">
        <v>222</v>
      </c>
      <c r="H14" s="48">
        <v>16</v>
      </c>
      <c r="I14" s="21" t="str">
        <f t="shared" si="0"/>
        <v>« 01 »  сентября 2016 г.  (приказ о зачислении № 962-08 от « 19 » августа 2016 г.)</v>
      </c>
      <c r="J14" s="48" t="s">
        <v>18</v>
      </c>
      <c r="K14" s="48" t="s">
        <v>182</v>
      </c>
      <c r="L14" s="48" t="s">
        <v>183</v>
      </c>
      <c r="M14" s="48" t="s">
        <v>244</v>
      </c>
      <c r="N14" s="48" t="s">
        <v>18</v>
      </c>
      <c r="O14" s="48" t="s">
        <v>182</v>
      </c>
      <c r="P14" s="48" t="s">
        <v>183</v>
      </c>
      <c r="Q14" s="21" t="str">
        <f t="shared" si="1"/>
        <v>« Дата »  Месяц 20Год г.  (приказ об отчислении № ??? от « Дата » Месяц 20Год г.)</v>
      </c>
      <c r="R14" s="21" t="s">
        <v>33</v>
      </c>
    </row>
    <row r="15" spans="1:18" s="31" customFormat="1" ht="56.25" x14ac:dyDescent="0.25">
      <c r="A15" s="53" t="s">
        <v>255</v>
      </c>
      <c r="B15" s="48" t="s">
        <v>184</v>
      </c>
      <c r="C15" s="48" t="s">
        <v>223</v>
      </c>
      <c r="D15" s="48">
        <v>16</v>
      </c>
      <c r="E15" s="48" t="s">
        <v>348</v>
      </c>
      <c r="F15" s="48" t="s">
        <v>202</v>
      </c>
      <c r="G15" s="48" t="s">
        <v>222</v>
      </c>
      <c r="H15" s="48">
        <v>16</v>
      </c>
      <c r="I15" s="21" t="str">
        <f t="shared" si="0"/>
        <v>« 01 »  сентября 2016 г.  (приказ о зачислении № 962-08 от « 19 » августа 2016 г.)</v>
      </c>
      <c r="J15" s="48" t="s">
        <v>18</v>
      </c>
      <c r="K15" s="48" t="s">
        <v>182</v>
      </c>
      <c r="L15" s="48" t="s">
        <v>183</v>
      </c>
      <c r="M15" s="48" t="s">
        <v>244</v>
      </c>
      <c r="N15" s="48" t="s">
        <v>18</v>
      </c>
      <c r="O15" s="48" t="s">
        <v>182</v>
      </c>
      <c r="P15" s="48" t="s">
        <v>183</v>
      </c>
      <c r="Q15" s="21" t="str">
        <f t="shared" si="1"/>
        <v>« Дата »  Месяц 20Год г.  (приказ об отчислении № ??? от « Дата » Месяц 20Год г.)</v>
      </c>
      <c r="R15" s="21" t="s">
        <v>34</v>
      </c>
    </row>
    <row r="16" spans="1:18" s="31" customFormat="1" ht="56.25" x14ac:dyDescent="0.25">
      <c r="A16" s="53" t="s">
        <v>341</v>
      </c>
      <c r="B16" s="48" t="s">
        <v>184</v>
      </c>
      <c r="C16" s="48" t="s">
        <v>223</v>
      </c>
      <c r="D16" s="48">
        <v>16</v>
      </c>
      <c r="E16" s="48" t="s">
        <v>348</v>
      </c>
      <c r="F16" s="48" t="s">
        <v>202</v>
      </c>
      <c r="G16" s="48" t="s">
        <v>222</v>
      </c>
      <c r="H16" s="48">
        <v>16</v>
      </c>
      <c r="I16" s="21" t="str">
        <f t="shared" si="0"/>
        <v>« 01 »  сентября 2016 г.  (приказ о зачислении № 962-08 от « 19 » августа 2016 г.)</v>
      </c>
      <c r="J16" s="48" t="s">
        <v>18</v>
      </c>
      <c r="K16" s="48" t="s">
        <v>182</v>
      </c>
      <c r="L16" s="48" t="s">
        <v>183</v>
      </c>
      <c r="M16" s="48" t="s">
        <v>244</v>
      </c>
      <c r="N16" s="48" t="s">
        <v>18</v>
      </c>
      <c r="O16" s="48" t="s">
        <v>182</v>
      </c>
      <c r="P16" s="48" t="s">
        <v>183</v>
      </c>
      <c r="Q16" s="21" t="str">
        <f t="shared" si="1"/>
        <v>« Дата »  Месяц 20Год г.  (приказ об отчислении № ??? от « Дата » Месяц 20Год г.)</v>
      </c>
      <c r="R16" s="21" t="s">
        <v>342</v>
      </c>
    </row>
    <row r="17" spans="1:18" s="31" customFormat="1" ht="56.25" x14ac:dyDescent="0.25">
      <c r="A17" s="53" t="s">
        <v>257</v>
      </c>
      <c r="B17" s="48" t="s">
        <v>184</v>
      </c>
      <c r="C17" s="48" t="s">
        <v>223</v>
      </c>
      <c r="D17" s="48">
        <v>16</v>
      </c>
      <c r="E17" s="48" t="s">
        <v>348</v>
      </c>
      <c r="F17" s="48" t="s">
        <v>202</v>
      </c>
      <c r="G17" s="48" t="s">
        <v>222</v>
      </c>
      <c r="H17" s="48">
        <v>16</v>
      </c>
      <c r="I17" s="21" t="str">
        <f t="shared" si="0"/>
        <v>« 01 »  сентября 2016 г.  (приказ о зачислении № 962-08 от « 19 » августа 2016 г.)</v>
      </c>
      <c r="J17" s="48" t="s">
        <v>18</v>
      </c>
      <c r="K17" s="48" t="s">
        <v>182</v>
      </c>
      <c r="L17" s="48" t="s">
        <v>183</v>
      </c>
      <c r="M17" s="48" t="s">
        <v>244</v>
      </c>
      <c r="N17" s="48" t="s">
        <v>18</v>
      </c>
      <c r="O17" s="48" t="s">
        <v>182</v>
      </c>
      <c r="P17" s="48" t="s">
        <v>183</v>
      </c>
      <c r="Q17" s="21" t="str">
        <f t="shared" si="1"/>
        <v>« Дата »  Месяц 20Год г.  (приказ об отчислении № ??? от « Дата » Месяц 20Год г.)</v>
      </c>
      <c r="R17" s="21" t="s">
        <v>36</v>
      </c>
    </row>
    <row r="18" spans="1:18" s="31" customFormat="1" ht="56.25" x14ac:dyDescent="0.25">
      <c r="A18" s="53" t="s">
        <v>258</v>
      </c>
      <c r="B18" s="48" t="s">
        <v>184</v>
      </c>
      <c r="C18" s="48" t="s">
        <v>223</v>
      </c>
      <c r="D18" s="48">
        <v>16</v>
      </c>
      <c r="E18" s="48" t="s">
        <v>348</v>
      </c>
      <c r="F18" s="48" t="s">
        <v>202</v>
      </c>
      <c r="G18" s="48" t="s">
        <v>222</v>
      </c>
      <c r="H18" s="48">
        <v>16</v>
      </c>
      <c r="I18" s="21" t="str">
        <f t="shared" si="0"/>
        <v>« 01 »  сентября 2016 г.  (приказ о зачислении № 962-08 от « 19 » августа 2016 г.)</v>
      </c>
      <c r="J18" s="48" t="s">
        <v>18</v>
      </c>
      <c r="K18" s="48" t="s">
        <v>182</v>
      </c>
      <c r="L18" s="48" t="s">
        <v>183</v>
      </c>
      <c r="M18" s="48" t="s">
        <v>244</v>
      </c>
      <c r="N18" s="48" t="s">
        <v>18</v>
      </c>
      <c r="O18" s="48" t="s">
        <v>182</v>
      </c>
      <c r="P18" s="48" t="s">
        <v>183</v>
      </c>
      <c r="Q18" s="21" t="str">
        <f t="shared" si="1"/>
        <v>« Дата »  Месяц 20Год г.  (приказ об отчислении № ??? от « Дата » Месяц 20Год г.)</v>
      </c>
      <c r="R18" s="21" t="s">
        <v>37</v>
      </c>
    </row>
    <row r="19" spans="1:18" s="31" customFormat="1" ht="56.25" x14ac:dyDescent="0.25">
      <c r="A19" s="53" t="s">
        <v>259</v>
      </c>
      <c r="B19" s="48" t="s">
        <v>184</v>
      </c>
      <c r="C19" s="48" t="s">
        <v>223</v>
      </c>
      <c r="D19" s="48">
        <v>16</v>
      </c>
      <c r="E19" s="48" t="s">
        <v>351</v>
      </c>
      <c r="F19" s="48" t="s">
        <v>209</v>
      </c>
      <c r="G19" s="48" t="s">
        <v>222</v>
      </c>
      <c r="H19" s="48">
        <v>16</v>
      </c>
      <c r="I19" s="21" t="str">
        <f t="shared" si="0"/>
        <v>« 01 »  сентября 2016 г.  (приказ о зачислении № 987-08 от « 26 » августа 2016 г.)</v>
      </c>
      <c r="J19" s="48" t="s">
        <v>18</v>
      </c>
      <c r="K19" s="48" t="s">
        <v>182</v>
      </c>
      <c r="L19" s="48" t="s">
        <v>183</v>
      </c>
      <c r="M19" s="48" t="s">
        <v>244</v>
      </c>
      <c r="N19" s="48" t="s">
        <v>18</v>
      </c>
      <c r="O19" s="48" t="s">
        <v>182</v>
      </c>
      <c r="P19" s="48" t="s">
        <v>183</v>
      </c>
      <c r="Q19" s="21" t="str">
        <f t="shared" si="1"/>
        <v>« Дата »  Месяц 20Год г.  (приказ об отчислении № ??? от « Дата » Месяц 20Год г.)</v>
      </c>
      <c r="R19" s="21" t="s">
        <v>54</v>
      </c>
    </row>
    <row r="20" spans="1:18" s="31" customFormat="1" ht="75" x14ac:dyDescent="0.25">
      <c r="A20" s="54" t="s">
        <v>322</v>
      </c>
      <c r="B20" s="55" t="s">
        <v>187</v>
      </c>
      <c r="C20" s="55" t="s">
        <v>224</v>
      </c>
      <c r="D20" s="55">
        <v>16</v>
      </c>
      <c r="E20" s="55" t="s">
        <v>352</v>
      </c>
      <c r="F20" s="55" t="s">
        <v>187</v>
      </c>
      <c r="G20" s="55" t="s">
        <v>224</v>
      </c>
      <c r="H20" s="55">
        <v>16</v>
      </c>
      <c r="I20" s="56" t="str">
        <f t="shared" si="0"/>
        <v>« 04 »  октября 2016 г.  (приказ о зачислении № 1270-08 от « 04 » октября 2016 г.)</v>
      </c>
      <c r="J20" s="55" t="s">
        <v>18</v>
      </c>
      <c r="K20" s="55" t="s">
        <v>182</v>
      </c>
      <c r="L20" s="55" t="s">
        <v>183</v>
      </c>
      <c r="M20" s="55" t="s">
        <v>244</v>
      </c>
      <c r="N20" s="55" t="s">
        <v>18</v>
      </c>
      <c r="O20" s="55" t="s">
        <v>182</v>
      </c>
      <c r="P20" s="55" t="s">
        <v>183</v>
      </c>
      <c r="Q20" s="56" t="str">
        <f t="shared" si="1"/>
        <v>« Дата »  Месяц 20Год г.  (приказ об отчислении № ??? от « Дата » Месяц 20Год г.)</v>
      </c>
      <c r="R20" s="57" t="s">
        <v>56</v>
      </c>
    </row>
    <row r="21" spans="1:18" s="31" customFormat="1" ht="56.25" x14ac:dyDescent="0.25">
      <c r="A21" s="53" t="s">
        <v>261</v>
      </c>
      <c r="B21" s="48" t="s">
        <v>184</v>
      </c>
      <c r="C21" s="48" t="s">
        <v>223</v>
      </c>
      <c r="D21" s="48">
        <v>16</v>
      </c>
      <c r="E21" s="48" t="s">
        <v>353</v>
      </c>
      <c r="F21" s="48" t="s">
        <v>202</v>
      </c>
      <c r="G21" s="48" t="s">
        <v>222</v>
      </c>
      <c r="H21" s="48">
        <v>16</v>
      </c>
      <c r="I21" s="21" t="str">
        <f t="shared" si="0"/>
        <v>« 01 »  сентября 2016 г.  (приказ о зачислении № 963-08 от « 19 » августа 2016 г.)</v>
      </c>
      <c r="J21" s="48" t="s">
        <v>18</v>
      </c>
      <c r="K21" s="48" t="s">
        <v>182</v>
      </c>
      <c r="L21" s="48" t="s">
        <v>183</v>
      </c>
      <c r="M21" s="48" t="s">
        <v>244</v>
      </c>
      <c r="N21" s="48" t="s">
        <v>18</v>
      </c>
      <c r="O21" s="48" t="s">
        <v>182</v>
      </c>
      <c r="P21" s="48" t="s">
        <v>183</v>
      </c>
      <c r="Q21" s="21" t="str">
        <f t="shared" si="1"/>
        <v>« Дата »  Месяц 20Год г.  (приказ об отчислении № ??? от « Дата » Месяц 20Год г.)</v>
      </c>
      <c r="R21" s="21" t="s">
        <v>57</v>
      </c>
    </row>
    <row r="22" spans="1:18" s="31" customFormat="1" ht="56.25" x14ac:dyDescent="0.25">
      <c r="A22" s="53" t="s">
        <v>262</v>
      </c>
      <c r="B22" s="48" t="s">
        <v>184</v>
      </c>
      <c r="C22" s="48" t="s">
        <v>223</v>
      </c>
      <c r="D22" s="48">
        <v>16</v>
      </c>
      <c r="E22" s="48" t="s">
        <v>353</v>
      </c>
      <c r="F22" s="48" t="s">
        <v>202</v>
      </c>
      <c r="G22" s="48" t="s">
        <v>222</v>
      </c>
      <c r="H22" s="48">
        <v>16</v>
      </c>
      <c r="I22" s="21" t="str">
        <f t="shared" si="0"/>
        <v>« 01 »  сентября 2016 г.  (приказ о зачислении № 963-08 от « 19 » августа 2016 г.)</v>
      </c>
      <c r="J22" s="48" t="s">
        <v>18</v>
      </c>
      <c r="K22" s="48" t="s">
        <v>182</v>
      </c>
      <c r="L22" s="48" t="s">
        <v>183</v>
      </c>
      <c r="M22" s="48" t="s">
        <v>244</v>
      </c>
      <c r="N22" s="48" t="s">
        <v>18</v>
      </c>
      <c r="O22" s="48" t="s">
        <v>182</v>
      </c>
      <c r="P22" s="48" t="s">
        <v>183</v>
      </c>
      <c r="Q22" s="21" t="str">
        <f t="shared" si="1"/>
        <v>« Дата »  Месяц 20Год г.  (приказ об отчислении № ??? от « Дата » Месяц 20Год г.)</v>
      </c>
      <c r="R22" s="21" t="s">
        <v>58</v>
      </c>
    </row>
    <row r="23" spans="1:18" s="31" customFormat="1" ht="56.25" x14ac:dyDescent="0.25">
      <c r="A23" s="53" t="s">
        <v>264</v>
      </c>
      <c r="B23" s="48" t="s">
        <v>184</v>
      </c>
      <c r="C23" s="48" t="s">
        <v>223</v>
      </c>
      <c r="D23" s="48">
        <v>16</v>
      </c>
      <c r="E23" s="48" t="s">
        <v>354</v>
      </c>
      <c r="F23" s="48" t="s">
        <v>202</v>
      </c>
      <c r="G23" s="48" t="s">
        <v>222</v>
      </c>
      <c r="H23" s="48">
        <v>16</v>
      </c>
      <c r="I23" s="21" t="str">
        <f>CONCATENATE("« ",B23," »  ",C23, " 20",D23," г.  (приказ о зачислении № ",E23," от « ",F23," » ",G23," 20",H23," г.)")</f>
        <v>« 01 »  сентября 2016 г.  (приказ о зачислении № 964-08 от « 19 » августа 2016 г.)</v>
      </c>
      <c r="J23" s="48" t="s">
        <v>190</v>
      </c>
      <c r="K23" s="48" t="s">
        <v>221</v>
      </c>
      <c r="L23" s="48">
        <v>20</v>
      </c>
      <c r="M23" s="48" t="s">
        <v>356</v>
      </c>
      <c r="N23" s="48" t="s">
        <v>190</v>
      </c>
      <c r="O23" s="48" t="s">
        <v>221</v>
      </c>
      <c r="P23" s="48">
        <v>20</v>
      </c>
      <c r="Q23" s="21" t="str">
        <f>CONCATENATE("« ",J23," »  ",K23, " 20",L23," г.  (приказ об отчислении № ",M23," от « ",N23," » ",O23," 20",P23," г.)")</f>
        <v>« 07 »  июля 2020 г.  (приказ об отчислении № 122/7-08 от « 07 » июля 2020 г.)</v>
      </c>
      <c r="R23" s="21" t="s">
        <v>60</v>
      </c>
    </row>
    <row r="24" spans="1:18" s="31" customFormat="1" ht="75" x14ac:dyDescent="0.25">
      <c r="A24" s="53" t="s">
        <v>266</v>
      </c>
      <c r="B24" s="48" t="s">
        <v>184</v>
      </c>
      <c r="C24" s="48" t="s">
        <v>223</v>
      </c>
      <c r="D24" s="48">
        <v>15</v>
      </c>
      <c r="E24" s="48" t="s">
        <v>355</v>
      </c>
      <c r="F24" s="48" t="s">
        <v>204</v>
      </c>
      <c r="G24" s="48" t="s">
        <v>222</v>
      </c>
      <c r="H24" s="48">
        <v>15</v>
      </c>
      <c r="I24" s="21" t="str">
        <f t="shared" si="0"/>
        <v>« 01 »  сентября 2015 г.  (приказ о зачислении № 1023-08 от « 21 » августа 2015 г.)</v>
      </c>
      <c r="J24" s="48" t="s">
        <v>190</v>
      </c>
      <c r="K24" s="48" t="s">
        <v>221</v>
      </c>
      <c r="L24" s="48">
        <v>20</v>
      </c>
      <c r="M24" s="48" t="s">
        <v>356</v>
      </c>
      <c r="N24" s="48" t="s">
        <v>190</v>
      </c>
      <c r="O24" s="48" t="s">
        <v>221</v>
      </c>
      <c r="P24" s="48">
        <v>20</v>
      </c>
      <c r="Q24" s="21" t="str">
        <f t="shared" si="1"/>
        <v>« 07 »  июля 2020 г.  (приказ об отчислении № 122/7-08 от « 07 » июля 2020 г.)</v>
      </c>
      <c r="R24" s="21" t="s">
        <v>66</v>
      </c>
    </row>
    <row r="25" spans="1:18" s="31" customFormat="1" ht="75" x14ac:dyDescent="0.25">
      <c r="A25" s="54" t="s">
        <v>323</v>
      </c>
      <c r="B25" s="55" t="s">
        <v>210</v>
      </c>
      <c r="C25" s="55" t="s">
        <v>224</v>
      </c>
      <c r="D25" s="55">
        <v>17</v>
      </c>
      <c r="E25" s="55" t="s">
        <v>357</v>
      </c>
      <c r="F25" s="55" t="s">
        <v>210</v>
      </c>
      <c r="G25" s="55" t="s">
        <v>224</v>
      </c>
      <c r="H25" s="55">
        <v>17</v>
      </c>
      <c r="I25" s="56" t="str">
        <f t="shared" si="0"/>
        <v>« 27 »  октября 2017 г.  (приказ о зачислении № 1286-08 от « 27 » октября 2017 г.)</v>
      </c>
      <c r="J25" s="55" t="s">
        <v>18</v>
      </c>
      <c r="K25" s="55" t="s">
        <v>182</v>
      </c>
      <c r="L25" s="55" t="s">
        <v>183</v>
      </c>
      <c r="M25" s="55" t="s">
        <v>244</v>
      </c>
      <c r="N25" s="55" t="s">
        <v>18</v>
      </c>
      <c r="O25" s="55" t="s">
        <v>182</v>
      </c>
      <c r="P25" s="55" t="s">
        <v>183</v>
      </c>
      <c r="Q25" s="56" t="str">
        <f t="shared" si="1"/>
        <v>« Дата »  Месяц 20Год г.  (приказ об отчислении № ??? от « Дата » Месяц 20Год г.)</v>
      </c>
      <c r="R25" s="57" t="s">
        <v>67</v>
      </c>
    </row>
    <row r="26" spans="1:18" s="31" customFormat="1" ht="56.25" x14ac:dyDescent="0.25">
      <c r="A26" s="53" t="s">
        <v>267</v>
      </c>
      <c r="B26" s="48" t="s">
        <v>184</v>
      </c>
      <c r="C26" s="48" t="s">
        <v>223</v>
      </c>
      <c r="D26" s="48">
        <v>17</v>
      </c>
      <c r="E26" s="48" t="s">
        <v>358</v>
      </c>
      <c r="F26" s="48" t="s">
        <v>214</v>
      </c>
      <c r="G26" s="48" t="s">
        <v>222</v>
      </c>
      <c r="H26" s="48">
        <v>17</v>
      </c>
      <c r="I26" s="21" t="str">
        <f t="shared" si="0"/>
        <v>« 01 »  сентября 2017 г.  (приказ о зачислении № 895-08 от « 31 » августа 2017 г.)</v>
      </c>
      <c r="J26" s="48" t="s">
        <v>18</v>
      </c>
      <c r="K26" s="48" t="s">
        <v>182</v>
      </c>
      <c r="L26" s="48" t="s">
        <v>183</v>
      </c>
      <c r="M26" s="48" t="s">
        <v>244</v>
      </c>
      <c r="N26" s="48" t="s">
        <v>18</v>
      </c>
      <c r="O26" s="48" t="s">
        <v>182</v>
      </c>
      <c r="P26" s="48" t="s">
        <v>183</v>
      </c>
      <c r="Q26" s="21" t="str">
        <f t="shared" si="1"/>
        <v>« Дата »  Месяц 20Год г.  (приказ об отчислении № ??? от « Дата » Месяц 20Год г.)</v>
      </c>
      <c r="R26" s="21" t="s">
        <v>70</v>
      </c>
    </row>
    <row r="27" spans="1:18" s="31" customFormat="1" ht="56.25" x14ac:dyDescent="0.25">
      <c r="A27" s="53" t="s">
        <v>268</v>
      </c>
      <c r="B27" s="48" t="s">
        <v>184</v>
      </c>
      <c r="C27" s="48" t="s">
        <v>223</v>
      </c>
      <c r="D27" s="48">
        <v>17</v>
      </c>
      <c r="E27" s="48" t="s">
        <v>358</v>
      </c>
      <c r="F27" s="48" t="s">
        <v>214</v>
      </c>
      <c r="G27" s="48" t="s">
        <v>222</v>
      </c>
      <c r="H27" s="48">
        <v>17</v>
      </c>
      <c r="I27" s="21" t="str">
        <f t="shared" si="0"/>
        <v>« 01 »  сентября 2017 г.  (приказ о зачислении № 895-08 от « 31 » августа 2017 г.)</v>
      </c>
      <c r="J27" s="48" t="s">
        <v>18</v>
      </c>
      <c r="K27" s="48" t="s">
        <v>182</v>
      </c>
      <c r="L27" s="48" t="s">
        <v>183</v>
      </c>
      <c r="M27" s="48" t="s">
        <v>244</v>
      </c>
      <c r="N27" s="48" t="s">
        <v>18</v>
      </c>
      <c r="O27" s="48" t="s">
        <v>182</v>
      </c>
      <c r="P27" s="48" t="s">
        <v>183</v>
      </c>
      <c r="Q27" s="21" t="str">
        <f t="shared" si="1"/>
        <v>« Дата »  Месяц 20Год г.  (приказ об отчислении № ??? от « Дата » Месяц 20Год г.)</v>
      </c>
      <c r="R27" s="21" t="s">
        <v>72</v>
      </c>
    </row>
    <row r="28" spans="1:18" s="31" customFormat="1" ht="56.25" x14ac:dyDescent="0.25">
      <c r="A28" s="53" t="s">
        <v>269</v>
      </c>
      <c r="B28" s="48" t="s">
        <v>184</v>
      </c>
      <c r="C28" s="48" t="s">
        <v>223</v>
      </c>
      <c r="D28" s="48">
        <v>17</v>
      </c>
      <c r="E28" s="48" t="s">
        <v>358</v>
      </c>
      <c r="F28" s="48" t="s">
        <v>214</v>
      </c>
      <c r="G28" s="48" t="s">
        <v>222</v>
      </c>
      <c r="H28" s="48">
        <v>17</v>
      </c>
      <c r="I28" s="21" t="str">
        <f t="shared" si="0"/>
        <v>« 01 »  сентября 2017 г.  (приказ о зачислении № 895-08 от « 31 » августа 2017 г.)</v>
      </c>
      <c r="J28" s="48" t="s">
        <v>18</v>
      </c>
      <c r="K28" s="48" t="s">
        <v>182</v>
      </c>
      <c r="L28" s="48" t="s">
        <v>183</v>
      </c>
      <c r="M28" s="48" t="s">
        <v>244</v>
      </c>
      <c r="N28" s="48" t="s">
        <v>18</v>
      </c>
      <c r="O28" s="48" t="s">
        <v>182</v>
      </c>
      <c r="P28" s="48" t="s">
        <v>183</v>
      </c>
      <c r="Q28" s="21" t="str">
        <f t="shared" si="1"/>
        <v>« Дата »  Месяц 20Год г.  (приказ об отчислении № ??? от « Дата » Месяц 20Год г.)</v>
      </c>
      <c r="R28" s="21" t="s">
        <v>73</v>
      </c>
    </row>
    <row r="33" spans="1:18" s="31" customFormat="1" ht="56.25" x14ac:dyDescent="0.25">
      <c r="A33" s="53" t="s">
        <v>246</v>
      </c>
      <c r="B33" s="48" t="s">
        <v>18</v>
      </c>
      <c r="C33" s="48" t="s">
        <v>182</v>
      </c>
      <c r="D33" s="48" t="s">
        <v>183</v>
      </c>
      <c r="E33" s="48" t="s">
        <v>244</v>
      </c>
      <c r="F33" s="48" t="s">
        <v>18</v>
      </c>
      <c r="G33" s="48" t="s">
        <v>182</v>
      </c>
      <c r="H33" s="48" t="s">
        <v>183</v>
      </c>
      <c r="I33" s="21" t="str">
        <f t="shared" ref="I33:I38" si="2">CONCATENATE("« ",B33," »  ",C33, " 20",D33," г.  (приказ о зачислении № ",E33," от « ",F33," » ",G33," 20",H33," г.)")</f>
        <v>« Дата »  Месяц 20Год г.  (приказ о зачислении № ??? от « Дата » Месяц 20Год г.)</v>
      </c>
      <c r="J33" s="48" t="s">
        <v>18</v>
      </c>
      <c r="K33" s="48" t="s">
        <v>182</v>
      </c>
      <c r="L33" s="48" t="s">
        <v>183</v>
      </c>
      <c r="M33" s="48" t="s">
        <v>244</v>
      </c>
      <c r="N33" s="48" t="s">
        <v>18</v>
      </c>
      <c r="O33" s="48" t="s">
        <v>182</v>
      </c>
      <c r="P33" s="48" t="s">
        <v>183</v>
      </c>
      <c r="Q33" s="21" t="str">
        <f t="shared" ref="Q33:Q38" si="3">CONCATENATE("« ",J33," »  ",K33, " 20",L33," г.  (приказ об отчислении № ",M33," от « ",N33," » ",O33," 20",P33," г.)")</f>
        <v>« Дата »  Месяц 20Год г.  (приказ об отчислении № ??? от « Дата » Месяц 20Год г.)</v>
      </c>
      <c r="R33" s="21" t="s">
        <v>24</v>
      </c>
    </row>
    <row r="34" spans="1:18" s="31" customFormat="1" ht="56.25" x14ac:dyDescent="0.25">
      <c r="A34" s="53" t="s">
        <v>256</v>
      </c>
      <c r="B34" s="48" t="s">
        <v>18</v>
      </c>
      <c r="C34" s="48" t="s">
        <v>182</v>
      </c>
      <c r="D34" s="48" t="s">
        <v>183</v>
      </c>
      <c r="E34" s="48" t="s">
        <v>244</v>
      </c>
      <c r="F34" s="48" t="s">
        <v>18</v>
      </c>
      <c r="G34" s="48" t="s">
        <v>182</v>
      </c>
      <c r="H34" s="48" t="s">
        <v>183</v>
      </c>
      <c r="I34" s="21" t="str">
        <f t="shared" si="2"/>
        <v>« Дата »  Месяц 20Год г.  (приказ о зачислении № ??? от « Дата » Месяц 20Год г.)</v>
      </c>
      <c r="J34" s="48" t="s">
        <v>18</v>
      </c>
      <c r="K34" s="48" t="s">
        <v>182</v>
      </c>
      <c r="L34" s="48" t="s">
        <v>183</v>
      </c>
      <c r="M34" s="48" t="s">
        <v>244</v>
      </c>
      <c r="N34" s="48" t="s">
        <v>18</v>
      </c>
      <c r="O34" s="48" t="s">
        <v>182</v>
      </c>
      <c r="P34" s="48" t="s">
        <v>183</v>
      </c>
      <c r="Q34" s="21" t="str">
        <f t="shared" si="3"/>
        <v>« Дата »  Месяц 20Год г.  (приказ об отчислении № ??? от « Дата » Месяц 20Год г.)</v>
      </c>
      <c r="R34" s="21" t="s">
        <v>35</v>
      </c>
    </row>
    <row r="35" spans="1:18" s="31" customFormat="1" ht="56.25" x14ac:dyDescent="0.25">
      <c r="A35" s="53" t="s">
        <v>260</v>
      </c>
      <c r="B35" s="48" t="s">
        <v>18</v>
      </c>
      <c r="C35" s="48" t="s">
        <v>182</v>
      </c>
      <c r="D35" s="48" t="s">
        <v>183</v>
      </c>
      <c r="E35" s="48" t="s">
        <v>244</v>
      </c>
      <c r="F35" s="48" t="s">
        <v>18</v>
      </c>
      <c r="G35" s="48" t="s">
        <v>182</v>
      </c>
      <c r="H35" s="48" t="s">
        <v>183</v>
      </c>
      <c r="I35" s="21" t="str">
        <f t="shared" si="2"/>
        <v>« Дата »  Месяц 20Год г.  (приказ о зачислении № ??? от « Дата » Месяц 20Год г.)</v>
      </c>
      <c r="J35" s="48" t="s">
        <v>18</v>
      </c>
      <c r="K35" s="48" t="s">
        <v>182</v>
      </c>
      <c r="L35" s="48" t="s">
        <v>183</v>
      </c>
      <c r="M35" s="48" t="s">
        <v>244</v>
      </c>
      <c r="N35" s="48" t="s">
        <v>18</v>
      </c>
      <c r="O35" s="48" t="s">
        <v>182</v>
      </c>
      <c r="P35" s="48" t="s">
        <v>183</v>
      </c>
      <c r="Q35" s="21" t="str">
        <f t="shared" si="3"/>
        <v>« Дата »  Месяц 20Год г.  (приказ об отчислении № ??? от « Дата » Месяц 20Год г.)</v>
      </c>
      <c r="R35" s="21" t="s">
        <v>55</v>
      </c>
    </row>
    <row r="36" spans="1:18" s="31" customFormat="1" ht="56.25" x14ac:dyDescent="0.25">
      <c r="A36" s="53" t="s">
        <v>263</v>
      </c>
      <c r="B36" s="48" t="s">
        <v>18</v>
      </c>
      <c r="C36" s="48" t="s">
        <v>182</v>
      </c>
      <c r="D36" s="48" t="s">
        <v>183</v>
      </c>
      <c r="E36" s="48" t="s">
        <v>244</v>
      </c>
      <c r="F36" s="48" t="s">
        <v>18</v>
      </c>
      <c r="G36" s="48" t="s">
        <v>182</v>
      </c>
      <c r="H36" s="48" t="s">
        <v>183</v>
      </c>
      <c r="I36" s="21" t="str">
        <f t="shared" si="2"/>
        <v>« Дата »  Месяц 20Год г.  (приказ о зачислении № ??? от « Дата » Месяц 20Год г.)</v>
      </c>
      <c r="J36" s="48" t="s">
        <v>18</v>
      </c>
      <c r="K36" s="48" t="s">
        <v>182</v>
      </c>
      <c r="L36" s="48" t="s">
        <v>183</v>
      </c>
      <c r="M36" s="48" t="s">
        <v>244</v>
      </c>
      <c r="N36" s="48" t="s">
        <v>18</v>
      </c>
      <c r="O36" s="48" t="s">
        <v>182</v>
      </c>
      <c r="P36" s="48" t="s">
        <v>183</v>
      </c>
      <c r="Q36" s="21" t="str">
        <f t="shared" si="3"/>
        <v>« Дата »  Месяц 20Год г.  (приказ об отчислении № ??? от « Дата » Месяц 20Год г.)</v>
      </c>
      <c r="R36" s="21" t="s">
        <v>59</v>
      </c>
    </row>
    <row r="37" spans="1:18" s="31" customFormat="1" ht="56.25" x14ac:dyDescent="0.25">
      <c r="A37" s="53" t="s">
        <v>265</v>
      </c>
      <c r="B37" s="48" t="s">
        <v>18</v>
      </c>
      <c r="C37" s="48" t="s">
        <v>182</v>
      </c>
      <c r="D37" s="48" t="s">
        <v>183</v>
      </c>
      <c r="E37" s="48" t="s">
        <v>244</v>
      </c>
      <c r="F37" s="48" t="s">
        <v>18</v>
      </c>
      <c r="G37" s="48" t="s">
        <v>182</v>
      </c>
      <c r="H37" s="48" t="s">
        <v>183</v>
      </c>
      <c r="I37" s="21" t="str">
        <f t="shared" si="2"/>
        <v>« Дата »  Месяц 20Год г.  (приказ о зачислении № ??? от « Дата » Месяц 20Год г.)</v>
      </c>
      <c r="J37" s="48" t="s">
        <v>18</v>
      </c>
      <c r="K37" s="48" t="s">
        <v>182</v>
      </c>
      <c r="L37" s="48" t="s">
        <v>183</v>
      </c>
      <c r="M37" s="48" t="s">
        <v>244</v>
      </c>
      <c r="N37" s="48" t="s">
        <v>18</v>
      </c>
      <c r="O37" s="48" t="s">
        <v>182</v>
      </c>
      <c r="P37" s="48" t="s">
        <v>183</v>
      </c>
      <c r="Q37" s="21" t="str">
        <f t="shared" si="3"/>
        <v>« Дата »  Месяц 20Год г.  (приказ об отчислении № ??? от « Дата » Месяц 20Год г.)</v>
      </c>
      <c r="R37" s="21" t="s">
        <v>61</v>
      </c>
    </row>
    <row r="38" spans="1:18" s="31" customFormat="1" ht="56.25" x14ac:dyDescent="0.25">
      <c r="A38" s="54" t="s">
        <v>324</v>
      </c>
      <c r="B38" s="55" t="s">
        <v>18</v>
      </c>
      <c r="C38" s="55" t="s">
        <v>182</v>
      </c>
      <c r="D38" s="55" t="s">
        <v>183</v>
      </c>
      <c r="E38" s="55" t="s">
        <v>244</v>
      </c>
      <c r="F38" s="55" t="s">
        <v>18</v>
      </c>
      <c r="G38" s="55" t="s">
        <v>182</v>
      </c>
      <c r="H38" s="55" t="s">
        <v>183</v>
      </c>
      <c r="I38" s="56" t="str">
        <f t="shared" si="2"/>
        <v>« Дата »  Месяц 20Год г.  (приказ о зачислении № ??? от « Дата » Месяц 20Год г.)</v>
      </c>
      <c r="J38" s="55" t="s">
        <v>18</v>
      </c>
      <c r="K38" s="55" t="s">
        <v>182</v>
      </c>
      <c r="L38" s="55" t="s">
        <v>183</v>
      </c>
      <c r="M38" s="55" t="s">
        <v>244</v>
      </c>
      <c r="N38" s="55" t="s">
        <v>18</v>
      </c>
      <c r="O38" s="55" t="s">
        <v>182</v>
      </c>
      <c r="P38" s="55" t="s">
        <v>183</v>
      </c>
      <c r="Q38" s="56" t="str">
        <f t="shared" si="3"/>
        <v>« Дата »  Месяц 20Год г.  (приказ об отчислении № ??? от « Дата » Месяц 20Год г.)</v>
      </c>
      <c r="R38" s="57" t="s">
        <v>71</v>
      </c>
    </row>
  </sheetData>
  <pageMargins left="0.7" right="0.7" top="0.75" bottom="0.75" header="0.3" footer="0.3"/>
  <pageSetup paperSize="9" orientation="portrait" verticalDpi="2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0000000}">
          <x14:formula1>
            <xm:f>ДМГ!$A$1:$A$32</xm:f>
          </x14:formula1>
          <xm:sqref>F33:F38 N33:N38 N2:N28 B33:B38 F2:F28 J33:J38 J2:J28 B2:B28</xm:sqref>
        </x14:dataValidation>
        <x14:dataValidation type="list" allowBlank="1" showInputMessage="1" showErrorMessage="1" xr:uid="{00000000-0002-0000-0B00-000001000000}">
          <x14:formula1>
            <xm:f>ДМГ!$B$1:$B$13</xm:f>
          </x14:formula1>
          <xm:sqref>G33:G38 O33:O38 O2:O28 C33:C38 G2:G28 K33:K38 K2:K28 C2:C28</xm:sqref>
        </x14:dataValidation>
        <x14:dataValidation type="list" allowBlank="1" showInputMessage="1" showErrorMessage="1" xr:uid="{00000000-0002-0000-0B00-000002000000}">
          <x14:formula1>
            <xm:f>ДМГ!$C$1:$C$9</xm:f>
          </x14:formula1>
          <xm:sqref>H33:H38 P33:P38 P2:P28 D33:D38 H2:H28 L33:L38 L2:L28 D2:D28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dimension ref="A1:H34"/>
  <sheetViews>
    <sheetView topLeftCell="A18" workbookViewId="0">
      <selection activeCell="B18" sqref="B18"/>
    </sheetView>
  </sheetViews>
  <sheetFormatPr defaultRowHeight="15.75" x14ac:dyDescent="0.25"/>
  <cols>
    <col min="1" max="1" width="36.140625" customWidth="1"/>
    <col min="2" max="2" width="27.7109375" style="38" customWidth="1"/>
    <col min="3" max="3" width="13.85546875" style="19" customWidth="1"/>
    <col min="4" max="4" width="17.28515625" style="19" customWidth="1"/>
    <col min="5" max="5" width="48.5703125" customWidth="1"/>
    <col min="6" max="6" width="15.7109375" style="23" customWidth="1"/>
    <col min="7" max="7" width="60.85546875" style="13" customWidth="1"/>
    <col min="8" max="8" width="36.140625" customWidth="1"/>
  </cols>
  <sheetData>
    <row r="1" spans="1:8" ht="56.25" x14ac:dyDescent="0.25">
      <c r="A1" s="16" t="s">
        <v>12</v>
      </c>
      <c r="B1" s="16" t="s">
        <v>76</v>
      </c>
      <c r="C1" s="22" t="s">
        <v>77</v>
      </c>
      <c r="D1" s="22" t="s">
        <v>78</v>
      </c>
      <c r="E1" s="16" t="s">
        <v>15</v>
      </c>
      <c r="F1" s="22" t="s">
        <v>110</v>
      </c>
      <c r="G1" s="16" t="s">
        <v>4</v>
      </c>
      <c r="H1" s="16" t="s">
        <v>111</v>
      </c>
    </row>
    <row r="2" spans="1:8" ht="37.5" x14ac:dyDescent="0.25">
      <c r="A2" s="14" t="s">
        <v>20</v>
      </c>
      <c r="B2" s="37" t="s">
        <v>21</v>
      </c>
      <c r="C2" s="20" t="s">
        <v>38</v>
      </c>
      <c r="D2" s="20" t="s">
        <v>39</v>
      </c>
      <c r="E2" s="14" t="str">
        <f>CONCATENATE(C2," ",D2)</f>
        <v>04.06.01 Химические науки</v>
      </c>
      <c r="F2" s="20" t="s">
        <v>80</v>
      </c>
      <c r="G2" s="14" t="str">
        <f>VLOOKUP(F2,'проф - дисц - спец'!$A:$E,5,0)</f>
        <v>02.00.05 Электрохимия</v>
      </c>
      <c r="H2" s="14" t="str">
        <f>VLOOKUP(F2,'проф - дисц - спец'!$A:$E,2,0)</f>
        <v>Электрохимия</v>
      </c>
    </row>
    <row r="3" spans="1:8" ht="47.25" x14ac:dyDescent="0.25">
      <c r="A3" s="14" t="s">
        <v>321</v>
      </c>
      <c r="B3" s="37" t="s">
        <v>22</v>
      </c>
      <c r="C3" s="20" t="s">
        <v>40</v>
      </c>
      <c r="D3" s="20" t="s">
        <v>41</v>
      </c>
      <c r="E3" s="14" t="str">
        <f t="shared" ref="E3:E34" si="0">CONCATENATE(C3," ",D3)</f>
        <v>08.06.01 Техника и технология строительства</v>
      </c>
      <c r="F3" s="20" t="s">
        <v>82</v>
      </c>
      <c r="G3" s="14" t="str">
        <f>VLOOKUP(F3,'проф - дисц - спец'!$A:$E,5,0)</f>
        <v>05.23.01 Строительные конструкции, здания и сооружения</v>
      </c>
      <c r="H3" s="14" t="str">
        <f>VLOOKUP(F3,'проф - дисц - спец'!$A:$E,2,0)</f>
        <v>Строительные конструкции, здания и сооружения</v>
      </c>
    </row>
    <row r="4" spans="1:8" ht="47.25" x14ac:dyDescent="0.25">
      <c r="A4" s="14" t="s">
        <v>245</v>
      </c>
      <c r="B4" s="37" t="s">
        <v>23</v>
      </c>
      <c r="C4" s="20" t="s">
        <v>40</v>
      </c>
      <c r="D4" s="20" t="s">
        <v>41</v>
      </c>
      <c r="E4" s="14" t="str">
        <f t="shared" si="0"/>
        <v>08.06.01 Техника и технология строительства</v>
      </c>
      <c r="F4" s="20" t="s">
        <v>82</v>
      </c>
      <c r="G4" s="14" t="str">
        <f>VLOOKUP(F4,'проф - дисц - спец'!$A:$E,5,0)</f>
        <v>05.23.01 Строительные конструкции, здания и сооружения</v>
      </c>
      <c r="H4" s="14" t="str">
        <f>VLOOKUP(F4,'проф - дисц - спец'!$A:$E,2,0)</f>
        <v>Строительные конструкции, здания и сооружения</v>
      </c>
    </row>
    <row r="5" spans="1:8" ht="47.25" x14ac:dyDescent="0.25">
      <c r="A5" s="14" t="s">
        <v>246</v>
      </c>
      <c r="B5" s="37" t="s">
        <v>24</v>
      </c>
      <c r="C5" s="20" t="s">
        <v>40</v>
      </c>
      <c r="D5" s="20" t="s">
        <v>41</v>
      </c>
      <c r="E5" s="14" t="str">
        <f t="shared" si="0"/>
        <v>08.06.01 Техника и технология строительства</v>
      </c>
      <c r="F5" s="20" t="s">
        <v>84</v>
      </c>
      <c r="G5" s="14" t="str">
        <f>VLOOKUP(F5,'проф - дисц - спец'!$A:$E,5,0)</f>
        <v>05.23.05 Строительные материалы и изделия</v>
      </c>
      <c r="H5" s="14" t="str">
        <f>VLOOKUP(F5,'проф - дисц - спец'!$A:$E,2,0)</f>
        <v>Строительные материалы и изделия</v>
      </c>
    </row>
    <row r="6" spans="1:8" ht="47.25" x14ac:dyDescent="0.25">
      <c r="A6" s="14" t="s">
        <v>247</v>
      </c>
      <c r="B6" s="37" t="s">
        <v>25</v>
      </c>
      <c r="C6" s="20" t="s">
        <v>40</v>
      </c>
      <c r="D6" s="20" t="s">
        <v>41</v>
      </c>
      <c r="E6" s="14" t="str">
        <f t="shared" si="0"/>
        <v>08.06.01 Техника и технология строительства</v>
      </c>
      <c r="F6" s="20" t="s">
        <v>84</v>
      </c>
      <c r="G6" s="14" t="str">
        <f>VLOOKUP(F6,'проф - дисц - спец'!$A:$E,5,0)</f>
        <v>05.23.05 Строительные материалы и изделия</v>
      </c>
      <c r="H6" s="14" t="str">
        <f>VLOOKUP(F6,'проф - дисц - спец'!$A:$E,2,0)</f>
        <v>Строительные материалы и изделия</v>
      </c>
    </row>
    <row r="7" spans="1:8" ht="47.25" x14ac:dyDescent="0.25">
      <c r="A7" s="14" t="s">
        <v>248</v>
      </c>
      <c r="B7" s="37" t="s">
        <v>26</v>
      </c>
      <c r="C7" s="20" t="s">
        <v>42</v>
      </c>
      <c r="D7" s="20" t="s">
        <v>43</v>
      </c>
      <c r="E7" s="14" t="str">
        <f t="shared" si="0"/>
        <v>09.06.01 Информатика и вычислительная техника</v>
      </c>
      <c r="F7" s="20" t="s">
        <v>86</v>
      </c>
      <c r="G7" s="14" t="str">
        <f>VLOOKUP(F7,'проф - дисц - спец'!$A:$E,5,0)</f>
        <v>05.25.05 Информационные системы и процессы</v>
      </c>
      <c r="H7" s="14" t="str">
        <f>VLOOKUP(F7,'проф - дисц - спец'!$A:$E,2,0)</f>
        <v>Информационные системы и процессы</v>
      </c>
    </row>
    <row r="8" spans="1:8" ht="47.25" x14ac:dyDescent="0.25">
      <c r="A8" s="14" t="s">
        <v>249</v>
      </c>
      <c r="B8" s="37" t="s">
        <v>27</v>
      </c>
      <c r="C8" s="20" t="s">
        <v>42</v>
      </c>
      <c r="D8" s="20" t="s">
        <v>43</v>
      </c>
      <c r="E8" s="14" t="str">
        <f t="shared" si="0"/>
        <v>09.06.01 Информатика и вычислительная техника</v>
      </c>
      <c r="F8" s="20" t="s">
        <v>86</v>
      </c>
      <c r="G8" s="14" t="str">
        <f>VLOOKUP(F8,'проф - дисц - спец'!$A:$E,5,0)</f>
        <v>05.25.05 Информационные системы и процессы</v>
      </c>
      <c r="H8" s="14" t="str">
        <f>VLOOKUP(F8,'проф - дисц - спец'!$A:$E,2,0)</f>
        <v>Информационные системы и процессы</v>
      </c>
    </row>
    <row r="9" spans="1:8" ht="47.25" x14ac:dyDescent="0.25">
      <c r="A9" s="14" t="s">
        <v>250</v>
      </c>
      <c r="B9" s="37" t="s">
        <v>28</v>
      </c>
      <c r="C9" s="20" t="s">
        <v>42</v>
      </c>
      <c r="D9" s="20" t="s">
        <v>43</v>
      </c>
      <c r="E9" s="14" t="str">
        <f t="shared" si="0"/>
        <v>09.06.01 Информатика и вычислительная техника</v>
      </c>
      <c r="F9" s="20" t="s">
        <v>86</v>
      </c>
      <c r="G9" s="14" t="str">
        <f>VLOOKUP(F9,'проф - дисц - спец'!$A:$E,5,0)</f>
        <v>05.25.05 Информационные системы и процессы</v>
      </c>
      <c r="H9" s="14" t="str">
        <f>VLOOKUP(F9,'проф - дисц - спец'!$A:$E,2,0)</f>
        <v>Информационные системы и процессы</v>
      </c>
    </row>
    <row r="10" spans="1:8" ht="110.25" x14ac:dyDescent="0.25">
      <c r="A10" s="14" t="s">
        <v>251</v>
      </c>
      <c r="B10" s="37" t="s">
        <v>29</v>
      </c>
      <c r="C10" s="20" t="s">
        <v>44</v>
      </c>
      <c r="D10" s="20" t="s">
        <v>45</v>
      </c>
      <c r="E10" s="14" t="str">
        <f t="shared" si="0"/>
        <v>12.06.01 Фотоника, приборостроение, оптические и биотехнические системы и технологии</v>
      </c>
      <c r="F10" s="20" t="s">
        <v>88</v>
      </c>
      <c r="G10" s="14" t="str">
        <f>VLOOKUP(F10,'проф - дисц - спец'!$A:$E,5,0)</f>
        <v>05.11.13 Приборы и методы контроля природной среды, веществ, материалов и изделий</v>
      </c>
      <c r="H10" s="14" t="str">
        <f>VLOOKUP(F10,'проф - дисц - спец'!$A:$E,2,0)</f>
        <v>Приборы и системы контроля природной среды, веществ, материалов и изделий</v>
      </c>
    </row>
    <row r="11" spans="1:8" ht="110.25" x14ac:dyDescent="0.25">
      <c r="A11" s="37" t="s">
        <v>320</v>
      </c>
      <c r="B11" s="37" t="s">
        <v>30</v>
      </c>
      <c r="C11" s="20" t="s">
        <v>44</v>
      </c>
      <c r="D11" s="20" t="s">
        <v>45</v>
      </c>
      <c r="E11" s="14" t="str">
        <f t="shared" si="0"/>
        <v>12.06.01 Фотоника, приборостроение, оптические и биотехнические системы и технологии</v>
      </c>
      <c r="F11" s="20" t="s">
        <v>89</v>
      </c>
      <c r="G11" s="14" t="str">
        <f>VLOOKUP(F11,'проф - дисц - спец'!$A:$E,5,0)</f>
        <v>05.11.17 Приборы, системы и изделия медицинского назначения</v>
      </c>
      <c r="H11" s="14" t="str">
        <f>VLOOKUP(F11,'проф - дисц - спец'!$A:$E,2,0)</f>
        <v>Приборы, системы, изделия медицинского назначения</v>
      </c>
    </row>
    <row r="12" spans="1:8" ht="110.25" x14ac:dyDescent="0.25">
      <c r="A12" s="14" t="s">
        <v>252</v>
      </c>
      <c r="B12" s="37" t="s">
        <v>31</v>
      </c>
      <c r="C12" s="20" t="s">
        <v>44</v>
      </c>
      <c r="D12" s="20" t="s">
        <v>45</v>
      </c>
      <c r="E12" s="14" t="str">
        <f t="shared" si="0"/>
        <v>12.06.01 Фотоника, приборостроение, оптические и биотехнические системы и технологии</v>
      </c>
      <c r="F12" s="20" t="s">
        <v>91</v>
      </c>
      <c r="G12" s="14" t="str">
        <f>VLOOKUP(F12,'проф - дисц - спец'!$A:$E,5,0)</f>
        <v>05.11.16 Информационноизмерительные и управляющие системы (по отраслям)</v>
      </c>
      <c r="H12" s="14" t="str">
        <f>VLOOKUP(F12,'проф - дисц - спец'!$A:$E,2,0)</f>
        <v>Информационно-измерительные и управляющие системы</v>
      </c>
    </row>
    <row r="13" spans="1:8" ht="110.25" x14ac:dyDescent="0.25">
      <c r="A13" s="53" t="s">
        <v>337</v>
      </c>
      <c r="B13" s="21" t="s">
        <v>338</v>
      </c>
      <c r="C13" s="20" t="s">
        <v>44</v>
      </c>
      <c r="D13" s="20" t="s">
        <v>45</v>
      </c>
      <c r="E13" s="14" t="str">
        <f t="shared" si="0"/>
        <v>12.06.01 Фотоника, приборостроение, оптические и биотехнические системы и технологии</v>
      </c>
      <c r="F13" s="20" t="s">
        <v>91</v>
      </c>
      <c r="G13" s="14" t="str">
        <f>VLOOKUP(F13,'проф - дисц - спец'!$A:$E,5,0)</f>
        <v>05.11.16 Информационноизмерительные и управляющие системы (по отраслям)</v>
      </c>
      <c r="H13" s="14" t="str">
        <f>VLOOKUP(F13,'проф - дисц - спец'!$A:$E,2,0)</f>
        <v>Информационно-измерительные и управляющие системы</v>
      </c>
    </row>
    <row r="14" spans="1:8" ht="37.5" x14ac:dyDescent="0.25">
      <c r="A14" s="14" t="s">
        <v>253</v>
      </c>
      <c r="B14" s="37" t="s">
        <v>32</v>
      </c>
      <c r="C14" s="20" t="s">
        <v>46</v>
      </c>
      <c r="D14" s="20" t="s">
        <v>47</v>
      </c>
      <c r="E14" s="14" t="str">
        <f t="shared" si="0"/>
        <v>15.06.01 Машиностроение</v>
      </c>
      <c r="F14" s="20" t="s">
        <v>92</v>
      </c>
      <c r="G14" s="14" t="str">
        <f>VLOOKUP(F14,'проф - дисц - спец'!$A:$E,5,0)</f>
        <v>05.02.13 Машины, агрегаты и процессы (по отраслям)</v>
      </c>
      <c r="H14" s="14" t="str">
        <f>VLOOKUP(F14,'проф - дисц - спец'!$A:$E,2,0)</f>
        <v>Машины, агрегаты и процессы</v>
      </c>
    </row>
    <row r="15" spans="1:8" ht="37.5" x14ac:dyDescent="0.25">
      <c r="A15" s="14" t="s">
        <v>254</v>
      </c>
      <c r="B15" s="37" t="s">
        <v>33</v>
      </c>
      <c r="C15" s="20" t="s">
        <v>48</v>
      </c>
      <c r="D15" s="20" t="s">
        <v>49</v>
      </c>
      <c r="E15" s="14" t="str">
        <f t="shared" si="0"/>
        <v>18.06.01 Химическая технология</v>
      </c>
      <c r="F15" s="20" t="s">
        <v>94</v>
      </c>
      <c r="G15" s="14" t="str">
        <f>VLOOKUP(F15,'проф - дисц - спец'!$A:$E,5,0)</f>
        <v>05.17.08 Процессы и аппараты химических технологий</v>
      </c>
      <c r="H15" s="14" t="str">
        <f>VLOOKUP(F15,'проф - дисц - спец'!$A:$E,2,0)</f>
        <v>Процессы и аппараты химической технологии</v>
      </c>
    </row>
    <row r="16" spans="1:8" ht="37.5" x14ac:dyDescent="0.25">
      <c r="A16" s="14" t="s">
        <v>255</v>
      </c>
      <c r="B16" s="37" t="s">
        <v>34</v>
      </c>
      <c r="C16" s="20" t="s">
        <v>48</v>
      </c>
      <c r="D16" s="20" t="s">
        <v>49</v>
      </c>
      <c r="E16" s="14" t="str">
        <f t="shared" si="0"/>
        <v>18.06.01 Химическая технология</v>
      </c>
      <c r="F16" s="20" t="s">
        <v>94</v>
      </c>
      <c r="G16" s="14" t="str">
        <f>VLOOKUP(F16,'проф - дисц - спец'!$A:$E,5,0)</f>
        <v>05.17.08 Процессы и аппараты химических технологий</v>
      </c>
      <c r="H16" s="14" t="str">
        <f>VLOOKUP(F16,'проф - дисц - спец'!$A:$E,2,0)</f>
        <v>Процессы и аппараты химической технологии</v>
      </c>
    </row>
    <row r="17" spans="1:8" ht="37.5" x14ac:dyDescent="0.25">
      <c r="A17" s="14" t="s">
        <v>256</v>
      </c>
      <c r="B17" s="37" t="s">
        <v>35</v>
      </c>
      <c r="C17" s="20" t="s">
        <v>48</v>
      </c>
      <c r="D17" s="20" t="s">
        <v>49</v>
      </c>
      <c r="E17" s="14" t="str">
        <f t="shared" si="0"/>
        <v>18.06.01 Химическая технология</v>
      </c>
      <c r="F17" s="20" t="s">
        <v>94</v>
      </c>
      <c r="G17" s="14" t="str">
        <f>VLOOKUP(F17,'проф - дисц - спец'!$A:$E,5,0)</f>
        <v>05.17.08 Процессы и аппараты химических технологий</v>
      </c>
      <c r="H17" s="14" t="str">
        <f>VLOOKUP(F17,'проф - дисц - спец'!$A:$E,2,0)</f>
        <v>Процессы и аппараты химической технологии</v>
      </c>
    </row>
    <row r="18" spans="1:8" ht="93.75" x14ac:dyDescent="0.25">
      <c r="A18" s="14" t="s">
        <v>341</v>
      </c>
      <c r="B18" s="21" t="s">
        <v>342</v>
      </c>
      <c r="C18" s="20" t="s">
        <v>50</v>
      </c>
      <c r="D18" s="20" t="s">
        <v>51</v>
      </c>
      <c r="E18" s="14" t="str">
        <f t="shared" si="0"/>
        <v>27.06.01 Управление в технических системах</v>
      </c>
      <c r="F18" s="20" t="s">
        <v>96</v>
      </c>
      <c r="G18" s="14" t="str">
        <f>VLOOKUP(F18,'проф - дисц - спец'!$A:$E,5,0)</f>
        <v>05.13.06 Автоматизация и управление технологическими процессами и производствами (по отраслям)</v>
      </c>
      <c r="H18" s="14" t="str">
        <f>VLOOKUP(F18,'проф - дисц - спец'!$A:$E,2,0)</f>
        <v>Автоматизированное управление технологическими процессами и производствами</v>
      </c>
    </row>
    <row r="19" spans="1:8" ht="47.25" x14ac:dyDescent="0.25">
      <c r="A19" s="14" t="s">
        <v>257</v>
      </c>
      <c r="B19" s="37" t="s">
        <v>36</v>
      </c>
      <c r="C19" s="20" t="s">
        <v>52</v>
      </c>
      <c r="D19" s="20" t="s">
        <v>53</v>
      </c>
      <c r="E19" s="14" t="str">
        <f t="shared" si="0"/>
        <v>28.06.01 Нанотехнологии и наноматериалы</v>
      </c>
      <c r="F19" s="20" t="s">
        <v>98</v>
      </c>
      <c r="G19" s="14" t="str">
        <f>VLOOKUP(F19,'проф - дисц - спец'!$A:$E,5,0)</f>
        <v>05.16.08 Нанотехнологии и наноматериалы (по отраслям)</v>
      </c>
      <c r="H19" s="14" t="str">
        <f>VLOOKUP(F19,'проф - дисц - спец'!$A:$E,2,0)</f>
        <v>Нанотехнологии и наноматериалы</v>
      </c>
    </row>
    <row r="20" spans="1:8" ht="47.25" x14ac:dyDescent="0.25">
      <c r="A20" s="14" t="s">
        <v>258</v>
      </c>
      <c r="B20" s="37" t="s">
        <v>37</v>
      </c>
      <c r="C20" s="20" t="s">
        <v>52</v>
      </c>
      <c r="D20" s="20" t="s">
        <v>53</v>
      </c>
      <c r="E20" s="14" t="str">
        <f t="shared" si="0"/>
        <v>28.06.01 Нанотехнологии и наноматериалы</v>
      </c>
      <c r="F20" s="20" t="s">
        <v>98</v>
      </c>
      <c r="G20" s="14" t="str">
        <f>VLOOKUP(F20,'проф - дисц - спец'!$A:$E,5,0)</f>
        <v>05.16.08 Нанотехнологии и наноматериалы (по отраслям)</v>
      </c>
      <c r="H20" s="14" t="str">
        <f>VLOOKUP(F20,'проф - дисц - спец'!$A:$E,2,0)</f>
        <v>Нанотехнологии и наноматериалы</v>
      </c>
    </row>
    <row r="21" spans="1:8" ht="47.25" x14ac:dyDescent="0.25">
      <c r="A21" s="14" t="s">
        <v>259</v>
      </c>
      <c r="B21" s="37" t="s">
        <v>54</v>
      </c>
      <c r="C21" s="20" t="s">
        <v>40</v>
      </c>
      <c r="D21" s="20" t="s">
        <v>41</v>
      </c>
      <c r="E21" s="14" t="str">
        <f t="shared" si="0"/>
        <v>08.06.01 Техника и технология строительства</v>
      </c>
      <c r="F21" s="20" t="s">
        <v>84</v>
      </c>
      <c r="G21" s="14" t="str">
        <f>VLOOKUP(F21,'проф - дисц - спец'!$A:$E,5,0)</f>
        <v>05.23.05 Строительные материалы и изделия</v>
      </c>
      <c r="H21" s="14" t="str">
        <f>VLOOKUP(F21,'проф - дисц - спец'!$A:$E,2,0)</f>
        <v>Строительные материалы и изделия</v>
      </c>
    </row>
    <row r="22" spans="1:8" ht="47.25" x14ac:dyDescent="0.25">
      <c r="A22" s="14" t="s">
        <v>260</v>
      </c>
      <c r="B22" s="37" t="s">
        <v>55</v>
      </c>
      <c r="C22" s="20" t="s">
        <v>42</v>
      </c>
      <c r="D22" s="20" t="s">
        <v>43</v>
      </c>
      <c r="E22" s="14" t="str">
        <f t="shared" si="0"/>
        <v>09.06.01 Информатика и вычислительная техника</v>
      </c>
      <c r="F22" s="20" t="s">
        <v>86</v>
      </c>
      <c r="G22" s="14" t="str">
        <f>VLOOKUP(F22,'проф - дисц - спец'!$A:$E,5,0)</f>
        <v>05.25.05 Информационные системы и процессы</v>
      </c>
      <c r="H22" s="14" t="str">
        <f>VLOOKUP(F22,'проф - дисц - спец'!$A:$E,2,0)</f>
        <v>Информационные системы и процессы</v>
      </c>
    </row>
    <row r="23" spans="1:8" ht="37.5" x14ac:dyDescent="0.25">
      <c r="A23" s="37" t="s">
        <v>322</v>
      </c>
      <c r="B23" s="37" t="s">
        <v>56</v>
      </c>
      <c r="C23" s="20" t="s">
        <v>48</v>
      </c>
      <c r="D23" s="20" t="s">
        <v>49</v>
      </c>
      <c r="E23" s="14" t="str">
        <f t="shared" si="0"/>
        <v>18.06.01 Химическая технология</v>
      </c>
      <c r="F23" s="20" t="s">
        <v>94</v>
      </c>
      <c r="G23" s="14" t="str">
        <f>VLOOKUP(F23,'проф - дисц - спец'!$A:$E,5,0)</f>
        <v>05.17.08 Процессы и аппараты химических технологий</v>
      </c>
      <c r="H23" s="14" t="str">
        <f>VLOOKUP(F23,'проф - дисц - спец'!$A:$E,2,0)</f>
        <v>Процессы и аппараты химической технологии</v>
      </c>
    </row>
    <row r="24" spans="1:8" ht="47.25" x14ac:dyDescent="0.25">
      <c r="A24" s="14" t="s">
        <v>261</v>
      </c>
      <c r="B24" s="37" t="s">
        <v>57</v>
      </c>
      <c r="C24" s="20" t="s">
        <v>52</v>
      </c>
      <c r="D24" s="20" t="s">
        <v>53</v>
      </c>
      <c r="E24" s="14" t="str">
        <f t="shared" si="0"/>
        <v>28.06.01 Нанотехнологии и наноматериалы</v>
      </c>
      <c r="F24" s="20" t="s">
        <v>98</v>
      </c>
      <c r="G24" s="14" t="str">
        <f>VLOOKUP(F24,'проф - дисц - спец'!$A:$E,5,0)</f>
        <v>05.16.08 Нанотехнологии и наноматериалы (по отраслям)</v>
      </c>
      <c r="H24" s="14" t="str">
        <f>VLOOKUP(F24,'проф - дисц - спец'!$A:$E,2,0)</f>
        <v>Нанотехнологии и наноматериалы</v>
      </c>
    </row>
    <row r="25" spans="1:8" ht="47.25" x14ac:dyDescent="0.25">
      <c r="A25" s="14" t="s">
        <v>262</v>
      </c>
      <c r="B25" s="37" t="s">
        <v>58</v>
      </c>
      <c r="C25" s="20" t="s">
        <v>52</v>
      </c>
      <c r="D25" s="20" t="s">
        <v>53</v>
      </c>
      <c r="E25" s="14" t="str">
        <f t="shared" si="0"/>
        <v>28.06.01 Нанотехнологии и наноматериалы</v>
      </c>
      <c r="F25" s="20" t="s">
        <v>98</v>
      </c>
      <c r="G25" s="14" t="str">
        <f>VLOOKUP(F25,'проф - дисц - спец'!$A:$E,5,0)</f>
        <v>05.16.08 Нанотехнологии и наноматериалы (по отраслям)</v>
      </c>
      <c r="H25" s="14" t="str">
        <f>VLOOKUP(F25,'проф - дисц - спец'!$A:$E,2,0)</f>
        <v>Нанотехнологии и наноматериалы</v>
      </c>
    </row>
    <row r="26" spans="1:8" ht="47.25" x14ac:dyDescent="0.25">
      <c r="A26" s="14" t="s">
        <v>263</v>
      </c>
      <c r="B26" s="37" t="s">
        <v>59</v>
      </c>
      <c r="C26" s="20" t="s">
        <v>62</v>
      </c>
      <c r="D26" s="20" t="s">
        <v>63</v>
      </c>
      <c r="E26" s="14" t="str">
        <f t="shared" si="0"/>
        <v>45.06.01 Языкознание и литературоведение</v>
      </c>
      <c r="F26" s="20" t="s">
        <v>99</v>
      </c>
      <c r="G26" s="14" t="str">
        <f>VLOOKUP(F26,'проф - дисц - спец'!$A:$E,5,0)</f>
        <v>10.02.19 Теория языка</v>
      </c>
      <c r="H26" s="14" t="str">
        <f>VLOOKUP(F26,'проф - дисц - спец'!$A:$E,2,0)</f>
        <v>Теория языка</v>
      </c>
    </row>
    <row r="27" spans="1:8" ht="47.25" x14ac:dyDescent="0.25">
      <c r="A27" s="14" t="s">
        <v>264</v>
      </c>
      <c r="B27" s="37" t="s">
        <v>60</v>
      </c>
      <c r="C27" s="20" t="s">
        <v>64</v>
      </c>
      <c r="D27" s="20" t="s">
        <v>65</v>
      </c>
      <c r="E27" s="14" t="str">
        <f t="shared" si="0"/>
        <v>46.06.01 Исторические науки и археология</v>
      </c>
      <c r="F27" s="20" t="s">
        <v>101</v>
      </c>
      <c r="G27" s="14" t="str">
        <f>VLOOKUP(F27,'проф - дисц - спец'!$A:$E,5,0)</f>
        <v>07.00.02 Отечественная история</v>
      </c>
      <c r="H27" s="14" t="str">
        <f>VLOOKUP(F27,'проф - дисц - спец'!$A:$E,2,0)</f>
        <v>Отечественная история</v>
      </c>
    </row>
    <row r="28" spans="1:8" ht="47.25" x14ac:dyDescent="0.25">
      <c r="A28" s="14" t="s">
        <v>265</v>
      </c>
      <c r="B28" s="37" t="s">
        <v>61</v>
      </c>
      <c r="C28" s="20" t="s">
        <v>64</v>
      </c>
      <c r="D28" s="20" t="s">
        <v>65</v>
      </c>
      <c r="E28" s="14" t="str">
        <f t="shared" si="0"/>
        <v>46.06.01 Исторические науки и археология</v>
      </c>
      <c r="F28" s="20" t="s">
        <v>101</v>
      </c>
      <c r="G28" s="14" t="str">
        <f>VLOOKUP(F28,'проф - дисц - спец'!$A:$E,5,0)</f>
        <v>07.00.02 Отечественная история</v>
      </c>
      <c r="H28" s="14" t="str">
        <f>VLOOKUP(F28,'проф - дисц - спец'!$A:$E,2,0)</f>
        <v>Отечественная история</v>
      </c>
    </row>
    <row r="29" spans="1:8" ht="56.25" x14ac:dyDescent="0.25">
      <c r="A29" s="14" t="s">
        <v>266</v>
      </c>
      <c r="B29" s="37" t="s">
        <v>66</v>
      </c>
      <c r="C29" s="20" t="s">
        <v>42</v>
      </c>
      <c r="D29" s="20" t="s">
        <v>43</v>
      </c>
      <c r="E29" s="14" t="str">
        <f t="shared" si="0"/>
        <v>09.06.01 Информатика и вычислительная техника</v>
      </c>
      <c r="F29" s="20" t="s">
        <v>103</v>
      </c>
      <c r="G29" s="14" t="str">
        <f>VLOOKUP(F29,'проф - дисц - спец'!$A:$E,5,0)</f>
        <v>05.13.01 Системный анализ, управление и обработка информации</v>
      </c>
      <c r="H29" s="14" t="str">
        <f>VLOOKUP(F29,'проф - дисц - спец'!$A:$E,2,0)</f>
        <v>Системный анализ, управление и обработка информации</v>
      </c>
    </row>
    <row r="30" spans="1:8" ht="63" x14ac:dyDescent="0.25">
      <c r="A30" s="14" t="s">
        <v>323</v>
      </c>
      <c r="B30" s="37" t="s">
        <v>67</v>
      </c>
      <c r="C30" s="20" t="s">
        <v>68</v>
      </c>
      <c r="D30" s="20" t="s">
        <v>69</v>
      </c>
      <c r="E30" s="14" t="str">
        <f t="shared" si="0"/>
        <v>41.06.01 Политические науки и регионоведение</v>
      </c>
      <c r="F30" s="20" t="s">
        <v>105</v>
      </c>
      <c r="G30" s="14" t="str">
        <f>VLOOKUP(F30,'проф - дисц - спец'!$A:$E,5,0)</f>
        <v>23.00.02 Политические институты, процессы и технологии</v>
      </c>
      <c r="H30" s="14" t="str">
        <f>VLOOKUP(F30,'проф - дисц - спец'!$A:$E,2,0)</f>
        <v>Политические институты, процессы и технологии</v>
      </c>
    </row>
    <row r="31" spans="1:8" ht="37.5" x14ac:dyDescent="0.25">
      <c r="A31" s="14" t="s">
        <v>267</v>
      </c>
      <c r="B31" s="37" t="s">
        <v>70</v>
      </c>
      <c r="C31" s="20" t="s">
        <v>74</v>
      </c>
      <c r="D31" s="20" t="s">
        <v>75</v>
      </c>
      <c r="E31" s="14" t="str">
        <f t="shared" si="0"/>
        <v>38.06.01 Экономика</v>
      </c>
      <c r="F31" s="20" t="s">
        <v>107</v>
      </c>
      <c r="G31" s="14" t="str">
        <f>VLOOKUP(F31,'проф - дисц - спец'!$A:$E,5,0)</f>
        <v>08.00.05 Экономика и управление народным хозяйством (по отраслям)</v>
      </c>
      <c r="H31" s="14" t="str">
        <f>VLOOKUP(F31,'проф - дисц - спец'!$A:$E,2,0)</f>
        <v>Экономика и управление народным хозяйством</v>
      </c>
    </row>
    <row r="32" spans="1:8" ht="37.5" x14ac:dyDescent="0.25">
      <c r="A32" s="37" t="s">
        <v>324</v>
      </c>
      <c r="B32" s="37" t="s">
        <v>71</v>
      </c>
      <c r="C32" s="20" t="s">
        <v>74</v>
      </c>
      <c r="D32" s="20" t="s">
        <v>75</v>
      </c>
      <c r="E32" s="14" t="str">
        <f t="shared" si="0"/>
        <v>38.06.01 Экономика</v>
      </c>
      <c r="F32" s="20" t="s">
        <v>108</v>
      </c>
      <c r="G32" s="14" t="str">
        <f>VLOOKUP(F32,'проф - дисц - спец'!$A:$E,5,0)</f>
        <v>08.00.10 Финансы, денежное обращение и кредит</v>
      </c>
      <c r="H32" s="14" t="str">
        <f>VLOOKUP(F32,'проф - дисц - спец'!$A:$E,2,0)</f>
        <v>Финансы, денежное обращение и кредит</v>
      </c>
    </row>
    <row r="33" spans="1:8" ht="63" x14ac:dyDescent="0.25">
      <c r="A33" s="14" t="s">
        <v>268</v>
      </c>
      <c r="B33" s="37" t="s">
        <v>72</v>
      </c>
      <c r="C33" s="20" t="s">
        <v>68</v>
      </c>
      <c r="D33" s="20" t="s">
        <v>69</v>
      </c>
      <c r="E33" s="14" t="str">
        <f t="shared" si="0"/>
        <v>41.06.01 Политические науки и регионоведение</v>
      </c>
      <c r="F33" s="20" t="s">
        <v>105</v>
      </c>
      <c r="G33" s="14" t="str">
        <f>VLOOKUP(F33,'проф - дисц - спец'!$A:$E,5,0)</f>
        <v>23.00.02 Политические институты, процессы и технологии</v>
      </c>
      <c r="H33" s="14" t="str">
        <f>VLOOKUP(F33,'проф - дисц - спец'!$A:$E,2,0)</f>
        <v>Политические институты, процессы и технологии</v>
      </c>
    </row>
    <row r="34" spans="1:8" ht="63" x14ac:dyDescent="0.25">
      <c r="A34" s="14" t="s">
        <v>269</v>
      </c>
      <c r="B34" s="37" t="s">
        <v>73</v>
      </c>
      <c r="C34" s="20" t="s">
        <v>68</v>
      </c>
      <c r="D34" s="20" t="s">
        <v>69</v>
      </c>
      <c r="E34" s="14" t="str">
        <f t="shared" si="0"/>
        <v>41.06.01 Политические науки и регионоведение</v>
      </c>
      <c r="F34" s="20" t="s">
        <v>105</v>
      </c>
      <c r="G34" s="14" t="str">
        <f>VLOOKUP(F34,'проф - дисц - спец'!$A:$E,5,0)</f>
        <v>23.00.02 Политические институты, процессы и технологии</v>
      </c>
      <c r="H34" s="14" t="str">
        <f>VLOOKUP(F34,'проф - дисц - спец'!$A:$E,2,0)</f>
        <v>Политические институты, процессы и технологии</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dimension ref="A1:AC38"/>
  <sheetViews>
    <sheetView zoomScale="60" zoomScaleNormal="60" workbookViewId="0">
      <selection activeCell="T2" sqref="T2"/>
    </sheetView>
  </sheetViews>
  <sheetFormatPr defaultRowHeight="15" x14ac:dyDescent="0.25"/>
  <cols>
    <col min="1" max="1" width="6.5703125" style="6" customWidth="1"/>
    <col min="2" max="2" width="6.5703125" style="6" bestFit="1" customWidth="1"/>
    <col min="3" max="5" width="3.7109375" style="6" bestFit="1" customWidth="1"/>
    <col min="6" max="7" width="9.42578125" style="6" bestFit="1" customWidth="1"/>
    <col min="8" max="9" width="9.42578125" style="6" customWidth="1"/>
    <col min="10" max="10" width="23.7109375" style="6" bestFit="1" customWidth="1"/>
    <col min="11" max="11" width="6.5703125" style="6" bestFit="1" customWidth="1"/>
    <col min="12" max="14" width="3.7109375" style="6" bestFit="1" customWidth="1"/>
    <col min="15" max="15" width="9.42578125" bestFit="1" customWidth="1"/>
    <col min="16" max="16" width="15.140625" style="6" bestFit="1" customWidth="1"/>
    <col min="17" max="19" width="15.140625" style="6" customWidth="1"/>
    <col min="20" max="20" width="32.28515625" style="6" customWidth="1"/>
    <col min="21" max="21" width="9.42578125" style="6" bestFit="1" customWidth="1"/>
    <col min="22" max="24" width="3.7109375" style="6" bestFit="1" customWidth="1"/>
    <col min="25" max="25" width="9.42578125" bestFit="1" customWidth="1"/>
    <col min="26" max="26" width="12.28515625" style="6" bestFit="1" customWidth="1"/>
    <col min="27" max="28" width="12.28515625" style="6" customWidth="1"/>
    <col min="29" max="29" width="29.42578125" style="6" bestFit="1" customWidth="1"/>
  </cols>
  <sheetData>
    <row r="1" spans="1:29" ht="121.7" customHeight="1" x14ac:dyDescent="0.25">
      <c r="A1" s="29" t="s">
        <v>12</v>
      </c>
      <c r="B1" s="43" t="s">
        <v>175</v>
      </c>
      <c r="C1" s="44" t="s">
        <v>17</v>
      </c>
      <c r="D1" s="44" t="s">
        <v>18</v>
      </c>
      <c r="E1" s="44" t="s">
        <v>19</v>
      </c>
      <c r="F1" s="43" t="s">
        <v>0</v>
      </c>
      <c r="G1" s="43" t="s">
        <v>7</v>
      </c>
      <c r="H1" s="44" t="s">
        <v>231</v>
      </c>
      <c r="I1" s="44" t="s">
        <v>232</v>
      </c>
      <c r="J1" s="43" t="s">
        <v>8</v>
      </c>
      <c r="K1" s="45" t="s">
        <v>176</v>
      </c>
      <c r="L1" s="44" t="s">
        <v>17</v>
      </c>
      <c r="M1" s="44" t="s">
        <v>18</v>
      </c>
      <c r="N1" s="44" t="s">
        <v>19</v>
      </c>
      <c r="O1" s="45" t="s">
        <v>0</v>
      </c>
      <c r="P1" s="45" t="s">
        <v>7</v>
      </c>
      <c r="Q1" s="44" t="s">
        <v>231</v>
      </c>
      <c r="R1" s="44" t="s">
        <v>232</v>
      </c>
      <c r="S1" s="44" t="s">
        <v>239</v>
      </c>
      <c r="T1" s="45" t="s">
        <v>8</v>
      </c>
      <c r="U1" s="46" t="s">
        <v>177</v>
      </c>
      <c r="V1" s="44" t="s">
        <v>17</v>
      </c>
      <c r="W1" s="44" t="s">
        <v>18</v>
      </c>
      <c r="X1" s="44" t="s">
        <v>19</v>
      </c>
      <c r="Y1" s="46" t="s">
        <v>0</v>
      </c>
      <c r="Z1" s="46" t="s">
        <v>7</v>
      </c>
      <c r="AA1" s="44" t="s">
        <v>231</v>
      </c>
      <c r="AB1" s="44" t="s">
        <v>232</v>
      </c>
      <c r="AC1" s="46" t="s">
        <v>8</v>
      </c>
    </row>
    <row r="2" spans="1:29" ht="255.75" customHeight="1" x14ac:dyDescent="0.25">
      <c r="A2" s="30" t="s">
        <v>20</v>
      </c>
      <c r="B2" s="40" t="s">
        <v>1</v>
      </c>
      <c r="C2" s="39" t="s">
        <v>6</v>
      </c>
      <c r="D2" s="39" t="s">
        <v>227</v>
      </c>
      <c r="E2" s="39">
        <v>2017</v>
      </c>
      <c r="F2" s="40" t="str">
        <f>CONCATENATE(C2,CHAR(10),D2,CHAR(10),E2," года")</f>
        <v>Отлично 
24 января
2017 года</v>
      </c>
      <c r="G2" s="39" t="s">
        <v>10</v>
      </c>
      <c r="H2" s="39" t="s">
        <v>228</v>
      </c>
      <c r="I2" s="39" t="s">
        <v>229</v>
      </c>
      <c r="J2" s="40" t="str">
        <f>CONCATENATE(H2,CHAR(10),I2)</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 s="41" t="s">
        <v>5</v>
      </c>
      <c r="L2" s="39" t="s">
        <v>6</v>
      </c>
      <c r="M2" s="39" t="s">
        <v>240</v>
      </c>
      <c r="N2" s="39">
        <v>2017</v>
      </c>
      <c r="O2" s="41" t="str">
        <f>CONCATENATE(L2,CHAR(10),M2,CHAR(10),N2," года")</f>
        <v>Отлично 
22 июня
2017 года</v>
      </c>
      <c r="P2" s="39" t="s">
        <v>235</v>
      </c>
      <c r="Q2" s="39" t="s">
        <v>236</v>
      </c>
      <c r="R2" s="39" t="s">
        <v>237</v>
      </c>
      <c r="S2" s="39" t="s">
        <v>238</v>
      </c>
      <c r="T2" s="49" t="str">
        <f>CONCATENATE(Q2,CHAR(10),R2,CHAR(10),S2)</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 s="42" t="str">
        <f>VLOOKUP(A2,'БД направление'!$A:$H,8,0)</f>
        <v>Электрохимия</v>
      </c>
      <c r="V2" s="39" t="s">
        <v>6</v>
      </c>
      <c r="W2" s="39" t="s">
        <v>241</v>
      </c>
      <c r="X2" s="39">
        <v>2019</v>
      </c>
      <c r="Y2" s="42" t="str">
        <f>CONCATENATE(V2,CHAR(10),W2,CHAR(10),X2," года")</f>
        <v>Отлично 
27 июня
2019 года</v>
      </c>
      <c r="Z2" s="39" t="s">
        <v>242</v>
      </c>
      <c r="AA2" s="39" t="s">
        <v>243</v>
      </c>
      <c r="AB2" s="39" t="s">
        <v>238</v>
      </c>
      <c r="AC2" s="42" t="str">
        <f>CONCATENATE(AA2,CHAR(10),AB2)</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 spans="1:29" ht="257.25" x14ac:dyDescent="0.25">
      <c r="A3" s="30" t="s">
        <v>321</v>
      </c>
      <c r="B3" s="40" t="s">
        <v>1</v>
      </c>
      <c r="C3" s="39" t="s">
        <v>6</v>
      </c>
      <c r="D3" s="39" t="s">
        <v>326</v>
      </c>
      <c r="E3" s="39">
        <v>2017</v>
      </c>
      <c r="F3" s="40" t="str">
        <f t="shared" ref="F3:F31" si="0">CONCATENATE(C3,CHAR(10),D3,CHAR(10),E3," года")</f>
        <v>Отлично 
21 января
2017 года</v>
      </c>
      <c r="G3" s="39" t="s">
        <v>10</v>
      </c>
      <c r="H3" s="39" t="s">
        <v>228</v>
      </c>
      <c r="I3" s="39" t="s">
        <v>230</v>
      </c>
      <c r="J3" s="40" t="str">
        <f t="shared" ref="J3:J31" si="1">CONCATENATE(H3,CHAR(10),I3)</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3" s="41" t="s">
        <v>5</v>
      </c>
      <c r="L3" s="39" t="s">
        <v>6</v>
      </c>
      <c r="M3" s="39" t="s">
        <v>327</v>
      </c>
      <c r="N3" s="39">
        <v>2017</v>
      </c>
      <c r="O3" s="41" t="str">
        <f t="shared" ref="O3:O31" si="2">CONCATENATE(L3,CHAR(10),M3,CHAR(10),N3," года")</f>
        <v>Отлично 
20 июня
2017 года</v>
      </c>
      <c r="P3" s="39" t="s">
        <v>235</v>
      </c>
      <c r="Q3" s="39" t="s">
        <v>276</v>
      </c>
      <c r="R3" s="39" t="s">
        <v>271</v>
      </c>
      <c r="S3" s="39" t="s">
        <v>272</v>
      </c>
      <c r="T3" s="49" t="str">
        <f t="shared" ref="T3:T31" si="3">CONCATENATE(Q3,CHAR(10),R3,CHAR(10),S3)</f>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3" s="42" t="str">
        <f>VLOOKUP(A3,'БД направление'!$A:$H,8,0)</f>
        <v>Строительные конструкции, здания и сооружения</v>
      </c>
      <c r="V3" s="39" t="s">
        <v>6</v>
      </c>
      <c r="W3" s="39" t="s">
        <v>241</v>
      </c>
      <c r="X3" s="39">
        <v>2019</v>
      </c>
      <c r="Y3" s="42" t="str">
        <f t="shared" ref="Y3:Y31" si="4">CONCATENATE(V3,CHAR(10),W3,CHAR(10),X3," года")</f>
        <v>Отлично 
27 июня
2019 года</v>
      </c>
      <c r="Z3" s="39" t="s">
        <v>282</v>
      </c>
      <c r="AA3" s="39" t="s">
        <v>280</v>
      </c>
      <c r="AB3" s="39" t="s">
        <v>281</v>
      </c>
      <c r="AC3" s="42" t="str">
        <f t="shared" ref="AC3:AC31" si="5">CONCATENATE(AA3,CHAR(10),AB3)</f>
        <v>Леденев В.В., доктор технических наук, профессор, профессор кафедры «Конструкции зданий и сооружений», заместитель председателя комиссии
Леденев В.И., доктор технических наук, профессор, профессор кафедры «Городское строительство и автомобильные дороги»</v>
      </c>
    </row>
    <row r="4" spans="1:29" ht="257.25" x14ac:dyDescent="0.25">
      <c r="A4" s="58" t="s">
        <v>245</v>
      </c>
      <c r="B4" s="59" t="s">
        <v>1</v>
      </c>
      <c r="C4" s="60" t="s">
        <v>6</v>
      </c>
      <c r="D4" s="60" t="s">
        <v>227</v>
      </c>
      <c r="E4" s="60">
        <v>2017</v>
      </c>
      <c r="F4" s="59" t="str">
        <f t="shared" si="0"/>
        <v>Отлично 
24 января
2017 года</v>
      </c>
      <c r="G4" s="60" t="s">
        <v>10</v>
      </c>
      <c r="H4" s="60" t="s">
        <v>228</v>
      </c>
      <c r="I4" s="60" t="s">
        <v>230</v>
      </c>
      <c r="J4" s="59"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4" s="61" t="s">
        <v>5</v>
      </c>
      <c r="L4" s="60" t="s">
        <v>6</v>
      </c>
      <c r="M4" s="60" t="s">
        <v>327</v>
      </c>
      <c r="N4" s="60">
        <v>2017</v>
      </c>
      <c r="O4" s="61" t="str">
        <f t="shared" si="2"/>
        <v>Отлично 
20 июня
2017 года</v>
      </c>
      <c r="P4" s="60" t="s">
        <v>235</v>
      </c>
      <c r="Q4" s="60" t="s">
        <v>236</v>
      </c>
      <c r="R4" s="60" t="s">
        <v>237</v>
      </c>
      <c r="S4" s="60" t="s">
        <v>283</v>
      </c>
      <c r="T4" s="62"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Монастырев П.В., доктор технических наук, доцент, директор института архитектуры, строительства и транспорта</v>
      </c>
      <c r="U4" s="63" t="str">
        <f>VLOOKUP(A4,'БД направление'!$A:$H,8,0)</f>
        <v>Строительные конструкции, здания и сооружения</v>
      </c>
      <c r="V4" s="60" t="s">
        <v>6</v>
      </c>
      <c r="W4" s="60" t="s">
        <v>241</v>
      </c>
      <c r="X4" s="60">
        <v>2019</v>
      </c>
      <c r="Y4" s="63" t="str">
        <f t="shared" si="4"/>
        <v>Отлично 
27 июня
2019 года</v>
      </c>
      <c r="Z4" s="60" t="s">
        <v>282</v>
      </c>
      <c r="AA4" s="60" t="s">
        <v>280</v>
      </c>
      <c r="AB4" s="60" t="s">
        <v>281</v>
      </c>
      <c r="AC4" s="63" t="str">
        <f t="shared" si="5"/>
        <v>Леденев В.В., доктор технических наук, профессор, профессор кафедры «Конструкции зданий и сооружений», заместитель председателя комиссии
Леденев В.И., доктор технических наук, профессор, профессор кафедры «Городское строительство и автомобильные дороги»</v>
      </c>
    </row>
    <row r="5" spans="1:29" ht="257.25" x14ac:dyDescent="0.25">
      <c r="A5" s="30" t="s">
        <v>247</v>
      </c>
      <c r="B5" s="40" t="s">
        <v>1</v>
      </c>
      <c r="C5" s="39" t="s">
        <v>6</v>
      </c>
      <c r="D5" s="39" t="s">
        <v>227</v>
      </c>
      <c r="E5" s="39">
        <v>2017</v>
      </c>
      <c r="F5" s="40" t="str">
        <f t="shared" si="0"/>
        <v>Отлично 
24 января
2017 года</v>
      </c>
      <c r="G5" s="39" t="s">
        <v>10</v>
      </c>
      <c r="H5" s="39" t="s">
        <v>228</v>
      </c>
      <c r="I5" s="39" t="s">
        <v>230</v>
      </c>
      <c r="J5"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5" s="41" t="s">
        <v>5</v>
      </c>
      <c r="L5" s="39" t="s">
        <v>6</v>
      </c>
      <c r="M5" s="39" t="s">
        <v>327</v>
      </c>
      <c r="N5" s="39">
        <v>2017</v>
      </c>
      <c r="O5" s="41" t="str">
        <f t="shared" si="2"/>
        <v>Отлично 
20 июня
2017 года</v>
      </c>
      <c r="P5" s="39" t="s">
        <v>235</v>
      </c>
      <c r="Q5" s="39" t="s">
        <v>236</v>
      </c>
      <c r="R5" s="39" t="s">
        <v>237</v>
      </c>
      <c r="S5" s="39" t="s">
        <v>283</v>
      </c>
      <c r="T5"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Монастырев П.В., доктор технических наук, доцент, директор института архитектуры, строительства и транспорта</v>
      </c>
      <c r="U5" s="42" t="str">
        <f>VLOOKUP(A5,'БД направление'!$A:$H,8,0)</f>
        <v>Строительные материалы и изделия</v>
      </c>
      <c r="V5" s="39" t="s">
        <v>6</v>
      </c>
      <c r="W5" s="39" t="s">
        <v>328</v>
      </c>
      <c r="X5" s="39">
        <v>2019</v>
      </c>
      <c r="Y5" s="42" t="str">
        <f t="shared" si="4"/>
        <v>Отлично 
28 июня
2019 года</v>
      </c>
      <c r="Z5" s="39" t="s">
        <v>282</v>
      </c>
      <c r="AA5" s="39" t="s">
        <v>280</v>
      </c>
      <c r="AB5" s="39" t="s">
        <v>283</v>
      </c>
      <c r="AC5" s="42" t="str">
        <f t="shared" si="5"/>
        <v>Леденев В.В., доктор технических наук, профессор, профессор кафедры «Конструкции зданий и сооружений», заместитель председателя комиссии
Монастырев П.В., доктор технических наук, доцент, директор института архитектуры, строительства и транспорта</v>
      </c>
    </row>
    <row r="6" spans="1:29" ht="258.75" x14ac:dyDescent="0.25">
      <c r="A6" s="64" t="s">
        <v>248</v>
      </c>
      <c r="B6" s="65" t="s">
        <v>1</v>
      </c>
      <c r="C6" s="39" t="s">
        <v>6</v>
      </c>
      <c r="D6" s="39" t="s">
        <v>329</v>
      </c>
      <c r="E6" s="39">
        <v>2017</v>
      </c>
      <c r="F6" s="65" t="str">
        <f t="shared" si="0"/>
        <v>Отлично 
25 января
2017 года</v>
      </c>
      <c r="G6" s="39" t="s">
        <v>10</v>
      </c>
      <c r="H6" s="39" t="s">
        <v>228</v>
      </c>
      <c r="I6" s="39" t="s">
        <v>230</v>
      </c>
      <c r="J6" s="65"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6" s="67" t="s">
        <v>5</v>
      </c>
      <c r="L6" s="39" t="s">
        <v>6</v>
      </c>
      <c r="M6" s="39" t="s">
        <v>327</v>
      </c>
      <c r="N6" s="39">
        <v>2017</v>
      </c>
      <c r="O6" s="67" t="str">
        <f t="shared" si="2"/>
        <v>Отлично 
20 июня
2017 года</v>
      </c>
      <c r="P6" s="66" t="s">
        <v>235</v>
      </c>
      <c r="Q6" s="66" t="s">
        <v>236</v>
      </c>
      <c r="R6" s="66" t="s">
        <v>237</v>
      </c>
      <c r="S6" s="66" t="s">
        <v>279</v>
      </c>
      <c r="T6" s="68"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6" s="69" t="str">
        <f>VLOOKUP(A6,'БД направление'!$A:$H,8,0)</f>
        <v>Информационные системы и процессы</v>
      </c>
      <c r="V6" s="39" t="s">
        <v>6</v>
      </c>
      <c r="Y6" s="69" t="str">
        <f t="shared" si="4"/>
        <v>Отлично 
 года</v>
      </c>
      <c r="Z6" s="66" t="s">
        <v>284</v>
      </c>
      <c r="AA6" s="66" t="s">
        <v>286</v>
      </c>
      <c r="AB6" s="66" t="s">
        <v>285</v>
      </c>
      <c r="AC6" s="69" t="str">
        <f t="shared" si="5"/>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7" spans="1:29" ht="258.75" x14ac:dyDescent="0.25">
      <c r="A7" s="30" t="s">
        <v>249</v>
      </c>
      <c r="B7" s="40" t="s">
        <v>1</v>
      </c>
      <c r="C7" s="39" t="s">
        <v>330</v>
      </c>
      <c r="D7" s="39" t="s">
        <v>329</v>
      </c>
      <c r="E7" s="39">
        <v>2017</v>
      </c>
      <c r="F7" s="40" t="str">
        <f t="shared" si="0"/>
        <v>Хорошо
25 января
2017 года</v>
      </c>
      <c r="G7" s="39" t="s">
        <v>10</v>
      </c>
      <c r="H7" s="39" t="s">
        <v>228</v>
      </c>
      <c r="I7" s="39" t="s">
        <v>230</v>
      </c>
      <c r="J7"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7" s="41" t="s">
        <v>5</v>
      </c>
      <c r="L7" s="39" t="s">
        <v>6</v>
      </c>
      <c r="M7" s="39" t="s">
        <v>327</v>
      </c>
      <c r="N7" s="39">
        <v>2017</v>
      </c>
      <c r="O7" s="41" t="str">
        <f t="shared" si="2"/>
        <v>Отлично 
20 июня
2017 года</v>
      </c>
      <c r="P7" s="39" t="s">
        <v>235</v>
      </c>
      <c r="Q7" s="39" t="s">
        <v>276</v>
      </c>
      <c r="R7" s="39" t="s">
        <v>271</v>
      </c>
      <c r="S7" s="39" t="s">
        <v>272</v>
      </c>
      <c r="T7" s="49" t="str">
        <f t="shared" si="3"/>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7" s="42" t="str">
        <f>VLOOKUP(A7,'БД направление'!$A:$H,8,0)</f>
        <v>Информационные системы и процессы</v>
      </c>
      <c r="V7" s="39" t="s">
        <v>330</v>
      </c>
      <c r="Y7" s="42" t="str">
        <f t="shared" si="4"/>
        <v>Хорошо
 года</v>
      </c>
      <c r="Z7" s="66" t="s">
        <v>284</v>
      </c>
      <c r="AA7" s="66" t="s">
        <v>286</v>
      </c>
      <c r="AB7" s="66" t="s">
        <v>285</v>
      </c>
      <c r="AC7" s="42" t="str">
        <f t="shared" si="5"/>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8" spans="1:29" ht="258.75" x14ac:dyDescent="0.25">
      <c r="A8" s="30" t="s">
        <v>250</v>
      </c>
      <c r="B8" s="40" t="s">
        <v>1</v>
      </c>
      <c r="C8" s="39" t="s">
        <v>330</v>
      </c>
      <c r="D8" s="39" t="s">
        <v>329</v>
      </c>
      <c r="E8" s="39">
        <v>2017</v>
      </c>
      <c r="F8" s="40" t="str">
        <f t="shared" si="0"/>
        <v>Хорошо
25 января
2017 года</v>
      </c>
      <c r="G8" s="39" t="s">
        <v>10</v>
      </c>
      <c r="H8" s="39" t="s">
        <v>228</v>
      </c>
      <c r="I8" s="39" t="s">
        <v>230</v>
      </c>
      <c r="J8"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8" s="41" t="s">
        <v>5</v>
      </c>
      <c r="L8" s="39" t="s">
        <v>6</v>
      </c>
      <c r="M8" s="39" t="s">
        <v>331</v>
      </c>
      <c r="N8" s="39">
        <v>2017</v>
      </c>
      <c r="O8" s="41" t="str">
        <f t="shared" si="2"/>
        <v>Отлично 
21 июня
2017 года</v>
      </c>
      <c r="P8" s="39" t="s">
        <v>235</v>
      </c>
      <c r="Q8" s="39" t="s">
        <v>236</v>
      </c>
      <c r="R8" s="39" t="s">
        <v>237</v>
      </c>
      <c r="S8" s="39" t="s">
        <v>279</v>
      </c>
      <c r="T8"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8" s="42" t="str">
        <f>VLOOKUP(A8,'БД направление'!$A:$H,8,0)</f>
        <v>Информационные системы и процессы</v>
      </c>
      <c r="V8" s="39" t="s">
        <v>6</v>
      </c>
      <c r="Y8" s="42" t="str">
        <f t="shared" si="4"/>
        <v>Отлично 
 года</v>
      </c>
      <c r="Z8" s="66" t="s">
        <v>284</v>
      </c>
      <c r="AA8" s="66" t="s">
        <v>286</v>
      </c>
      <c r="AB8" s="66" t="s">
        <v>285</v>
      </c>
      <c r="AC8" s="42" t="str">
        <f t="shared" si="5"/>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9" spans="1:29" ht="257.25" x14ac:dyDescent="0.25">
      <c r="A9" s="30" t="s">
        <v>251</v>
      </c>
      <c r="B9" s="40" t="s">
        <v>1</v>
      </c>
      <c r="C9" s="39" t="s">
        <v>330</v>
      </c>
      <c r="D9" s="39" t="s">
        <v>332</v>
      </c>
      <c r="E9" s="39">
        <v>2017</v>
      </c>
      <c r="F9" s="40" t="str">
        <f t="shared" si="0"/>
        <v>Хорошо
26 января
2017 года</v>
      </c>
      <c r="G9" s="39" t="s">
        <v>10</v>
      </c>
      <c r="H9" s="39" t="s">
        <v>228</v>
      </c>
      <c r="I9" s="39" t="s">
        <v>230</v>
      </c>
      <c r="J9"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9" s="41" t="s">
        <v>5</v>
      </c>
      <c r="L9" s="39" t="s">
        <v>6</v>
      </c>
      <c r="M9" s="39" t="s">
        <v>331</v>
      </c>
      <c r="N9" s="39">
        <v>2017</v>
      </c>
      <c r="O9" s="41" t="str">
        <f t="shared" si="2"/>
        <v>Отлично 
21 июня
2017 года</v>
      </c>
      <c r="P9" s="39" t="s">
        <v>235</v>
      </c>
      <c r="Q9" s="39" t="s">
        <v>287</v>
      </c>
      <c r="R9" s="39" t="s">
        <v>288</v>
      </c>
      <c r="S9" s="39" t="s">
        <v>289</v>
      </c>
      <c r="T9" s="49" t="str">
        <f t="shared" si="3"/>
        <v>Григорьева В.С., кандидат филологических наук, доцент, профессор кафедры «Иностранных языков», заместитель председателя комиссии
Чеботарева Г.Н., кандидат филологических наук, ст. преподаватель кафедры «Международная профессиональная и научная коммуникация»
Фролов С.В., доктор технических наук, профессор, зав. кафедрой «Биомедицинская техника»</v>
      </c>
      <c r="U9" s="42" t="str">
        <f>VLOOKUP(A9,'БД направление'!$A:$H,8,0)</f>
        <v>Приборы и системы контроля природной среды, веществ, материалов и изделий</v>
      </c>
      <c r="V9" s="39" t="s">
        <v>6</v>
      </c>
      <c r="W9" s="39" t="s">
        <v>333</v>
      </c>
      <c r="X9" s="39">
        <v>2019</v>
      </c>
      <c r="Y9" s="42" t="str">
        <f t="shared" si="4"/>
        <v>Отлично 
25 июня
2019 года</v>
      </c>
      <c r="Z9" s="39" t="s">
        <v>290</v>
      </c>
      <c r="AA9" s="39" t="s">
        <v>292</v>
      </c>
      <c r="AB9" s="39" t="s">
        <v>291</v>
      </c>
      <c r="AC9" s="42" t="str">
        <f t="shared" si="5"/>
        <v>Пономарев С.В., доктор технических наук, профессор, профессор кафедры «Мехатроника и технологические измерения», заместитель председателя комиссии
Балабанов П.В., доктор технических наук, доцент, доцент кафедры «Мехатроника и технологические измерения»</v>
      </c>
    </row>
    <row r="10" spans="1:29" ht="261" x14ac:dyDescent="0.25">
      <c r="A10" s="58" t="s">
        <v>320</v>
      </c>
      <c r="B10" s="59" t="s">
        <v>1</v>
      </c>
      <c r="C10" s="60" t="s">
        <v>6</v>
      </c>
      <c r="D10" s="60" t="s">
        <v>332</v>
      </c>
      <c r="E10" s="60">
        <v>2017</v>
      </c>
      <c r="F10" s="59" t="str">
        <f t="shared" si="0"/>
        <v>Отлично 
26 января
2017 года</v>
      </c>
      <c r="G10" s="60" t="s">
        <v>10</v>
      </c>
      <c r="H10" s="60" t="s">
        <v>228</v>
      </c>
      <c r="I10" s="60" t="s">
        <v>230</v>
      </c>
      <c r="J10" s="59"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0" s="61" t="s">
        <v>5</v>
      </c>
      <c r="L10" s="60" t="s">
        <v>6</v>
      </c>
      <c r="M10" s="60" t="s">
        <v>331</v>
      </c>
      <c r="N10" s="60">
        <v>2017</v>
      </c>
      <c r="O10" s="61" t="str">
        <f t="shared" si="2"/>
        <v>Отлично 
21 июня
2017 года</v>
      </c>
      <c r="P10" s="60" t="s">
        <v>235</v>
      </c>
      <c r="Q10" s="60" t="s">
        <v>236</v>
      </c>
      <c r="R10" s="60" t="s">
        <v>237</v>
      </c>
      <c r="S10" s="60" t="s">
        <v>234</v>
      </c>
      <c r="T10" s="62"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0" s="63" t="str">
        <f>VLOOKUP(A10,'БД направление'!$A:$H,8,0)</f>
        <v>Приборы, системы, изделия медицинского назначения</v>
      </c>
      <c r="V10" s="60" t="s">
        <v>6</v>
      </c>
      <c r="Y10" s="63" t="str">
        <f t="shared" si="4"/>
        <v>Отлично 
 года</v>
      </c>
      <c r="Z10" s="60" t="s">
        <v>289</v>
      </c>
      <c r="AA10" s="60" t="s">
        <v>293</v>
      </c>
      <c r="AB10" s="60" t="s">
        <v>294</v>
      </c>
      <c r="AC10" s="63" t="str">
        <f t="shared" si="5"/>
        <v>Проскурин С.Г., доктор технических наук, доцент, доцент кафедры «Биомедицинская техника», заместитель председателя комиссии
Дубровин В.В., кандидат технических наук, доцент, доцент кафедры «Биомедицинская техника»</v>
      </c>
    </row>
    <row r="11" spans="1:29" ht="409.5" x14ac:dyDescent="0.25">
      <c r="A11" s="30" t="s">
        <v>252</v>
      </c>
      <c r="B11" s="40" t="s">
        <v>1</v>
      </c>
      <c r="C11" s="39" t="s">
        <v>6</v>
      </c>
      <c r="D11" s="39" t="s">
        <v>334</v>
      </c>
      <c r="E11" s="39">
        <v>2016</v>
      </c>
      <c r="F11" s="40" t="str">
        <f t="shared" si="0"/>
        <v>Отлично 
18 января
2016 года</v>
      </c>
      <c r="G11" s="39" t="s">
        <v>295</v>
      </c>
      <c r="H11" s="39" t="s">
        <v>298</v>
      </c>
      <c r="I11" s="39" t="s">
        <v>335</v>
      </c>
      <c r="J11" s="40" t="str">
        <f t="shared" si="1"/>
        <v>Юдин А.И., доктор философских наук, профессор, профессор кафедры «История и философия»,  заместитель председателя комиссии
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v>
      </c>
      <c r="K11" s="41" t="s">
        <v>5</v>
      </c>
      <c r="L11" s="39" t="s">
        <v>6</v>
      </c>
      <c r="M11" s="39" t="s">
        <v>331</v>
      </c>
      <c r="N11" s="39">
        <v>2016</v>
      </c>
      <c r="O11" s="41" t="str">
        <f t="shared" si="2"/>
        <v>Отлично 
21 июня
2016 года</v>
      </c>
      <c r="P11" s="39" t="s">
        <v>235</v>
      </c>
      <c r="Q11" s="39" t="s">
        <v>236</v>
      </c>
      <c r="R11" s="39" t="s">
        <v>237</v>
      </c>
      <c r="S11" s="39" t="s">
        <v>234</v>
      </c>
      <c r="T11"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1" s="42" t="str">
        <f>VLOOKUP(A11,'БД направление'!$A:$H,8,0)</f>
        <v>Информационно-измерительные и управляющие системы</v>
      </c>
      <c r="V11" s="39" t="s">
        <v>6</v>
      </c>
      <c r="W11" s="39" t="s">
        <v>333</v>
      </c>
      <c r="X11" s="39">
        <v>2019</v>
      </c>
      <c r="Y11" s="42" t="str">
        <f t="shared" si="4"/>
        <v>Отлично 
25 июня
2019 года</v>
      </c>
      <c r="Z11" s="39" t="s">
        <v>295</v>
      </c>
      <c r="AA11" s="39" t="s">
        <v>296</v>
      </c>
      <c r="AB11" s="39" t="s">
        <v>297</v>
      </c>
      <c r="AC11" s="42" t="str">
        <f t="shared" si="5"/>
        <v>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Павлов В.И., доктор технических наук, профессор, профессор кафедры «Конструирование радиоэлектронных и микропроцессорных систем»</v>
      </c>
    </row>
    <row r="12" spans="1:29" ht="258.75" x14ac:dyDescent="0.25">
      <c r="A12" s="30" t="s">
        <v>337</v>
      </c>
      <c r="B12" s="40" t="s">
        <v>1</v>
      </c>
      <c r="C12" s="39" t="s">
        <v>6</v>
      </c>
      <c r="D12" s="39" t="s">
        <v>332</v>
      </c>
      <c r="E12" s="39">
        <v>2017</v>
      </c>
      <c r="F12" s="40" t="str">
        <f t="shared" si="0"/>
        <v>Отлично 
26 января
2017 года</v>
      </c>
      <c r="G12" s="39" t="s">
        <v>10</v>
      </c>
      <c r="H12" s="39" t="s">
        <v>228</v>
      </c>
      <c r="I12" s="39" t="s">
        <v>230</v>
      </c>
      <c r="J12"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2" s="41" t="s">
        <v>5</v>
      </c>
      <c r="L12" s="39" t="s">
        <v>6</v>
      </c>
      <c r="M12" s="39" t="s">
        <v>331</v>
      </c>
      <c r="N12" s="39">
        <v>2017</v>
      </c>
      <c r="O12" s="41" t="str">
        <f t="shared" si="2"/>
        <v>Отлично 
21 июня
2017 года</v>
      </c>
      <c r="P12" s="39" t="s">
        <v>235</v>
      </c>
      <c r="Q12" s="39" t="s">
        <v>236</v>
      </c>
      <c r="R12" s="39" t="s">
        <v>237</v>
      </c>
      <c r="S12" s="39" t="s">
        <v>234</v>
      </c>
      <c r="T12"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2" s="42" t="str">
        <f>VLOOKUP(A12,'БД направление'!$A:$H,8,0)</f>
        <v>Информационно-измерительные и управляющие системы</v>
      </c>
      <c r="V12" s="39" t="s">
        <v>6</v>
      </c>
      <c r="W12" s="39" t="s">
        <v>333</v>
      </c>
      <c r="X12" s="39">
        <v>2019</v>
      </c>
      <c r="Y12" s="42" t="str">
        <f t="shared" si="4"/>
        <v>Отлично 
25 июня
2019 года</v>
      </c>
      <c r="Z12" s="39" t="s">
        <v>295</v>
      </c>
      <c r="AA12" s="39" t="s">
        <v>296</v>
      </c>
      <c r="AB12" s="39" t="s">
        <v>297</v>
      </c>
      <c r="AC12" s="42" t="str">
        <f t="shared" si="5"/>
        <v>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Павлов В.И., доктор технических наук, профессор, профессор кафедры «Конструирование радиоэлектронных и микропроцессорных систем»</v>
      </c>
    </row>
    <row r="13" spans="1:29" ht="257.25" x14ac:dyDescent="0.25">
      <c r="A13" s="64" t="s">
        <v>253</v>
      </c>
      <c r="B13" s="65" t="s">
        <v>1</v>
      </c>
      <c r="C13" s="39" t="s">
        <v>6</v>
      </c>
      <c r="D13" s="39" t="s">
        <v>332</v>
      </c>
      <c r="E13" s="39">
        <v>2017</v>
      </c>
      <c r="F13" s="65" t="str">
        <f t="shared" si="0"/>
        <v>Отлично 
26 января
2017 года</v>
      </c>
      <c r="G13" s="66" t="s">
        <v>10</v>
      </c>
      <c r="H13" s="66" t="s">
        <v>228</v>
      </c>
      <c r="I13" s="39" t="s">
        <v>230</v>
      </c>
      <c r="J13" s="65"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3" s="67" t="s">
        <v>5</v>
      </c>
      <c r="L13" s="39" t="s">
        <v>6</v>
      </c>
      <c r="M13" s="39" t="s">
        <v>331</v>
      </c>
      <c r="N13" s="39">
        <v>2017</v>
      </c>
      <c r="O13" s="67" t="str">
        <f t="shared" si="2"/>
        <v>Отлично 
21 июня
2017 года</v>
      </c>
      <c r="P13" s="66" t="s">
        <v>235</v>
      </c>
      <c r="Q13" s="66" t="s">
        <v>236</v>
      </c>
      <c r="R13" s="66" t="s">
        <v>237</v>
      </c>
      <c r="S13" s="66" t="s">
        <v>299</v>
      </c>
      <c r="T13" s="68"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Соколов М.В.,  доктор технических наук, доцент, профессор кафедры «Компьютерно-интегрированные системы в машиностроении»</v>
      </c>
      <c r="U13" s="69" t="str">
        <f>VLOOKUP(A13,'БД направление'!$A:$H,8,0)</f>
        <v>Машины, агрегаты и процессы</v>
      </c>
      <c r="V13" s="39" t="s">
        <v>6</v>
      </c>
      <c r="W13" s="39" t="s">
        <v>339</v>
      </c>
      <c r="X13" s="39">
        <v>2019</v>
      </c>
      <c r="Y13" s="69" t="str">
        <f t="shared" si="4"/>
        <v>Отлично 
26 июня
2019 года</v>
      </c>
      <c r="Z13" s="66" t="s">
        <v>300</v>
      </c>
      <c r="AA13" s="66" t="s">
        <v>301</v>
      </c>
      <c r="AB13" s="66" t="s">
        <v>302</v>
      </c>
      <c r="AC13" s="69" t="str">
        <f t="shared" si="5"/>
        <v>Першин В.Ф., доктор технических наук, профессор, профессор кафедры  «Техника и технологии производства нанопродуктов»,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4" spans="1:29" ht="261" x14ac:dyDescent="0.25">
      <c r="A14" s="30" t="s">
        <v>254</v>
      </c>
      <c r="B14" s="40" t="s">
        <v>1</v>
      </c>
      <c r="C14" s="39" t="s">
        <v>6</v>
      </c>
      <c r="D14" s="39" t="s">
        <v>340</v>
      </c>
      <c r="E14" s="39">
        <v>2017</v>
      </c>
      <c r="F14" s="40" t="str">
        <f t="shared" si="0"/>
        <v>Отлично 
27 января
2017 года</v>
      </c>
      <c r="G14" s="39" t="s">
        <v>10</v>
      </c>
      <c r="H14" s="39" t="s">
        <v>228</v>
      </c>
      <c r="I14" s="39" t="s">
        <v>230</v>
      </c>
      <c r="J14"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4" s="41" t="s">
        <v>5</v>
      </c>
      <c r="L14" s="39" t="s">
        <v>330</v>
      </c>
      <c r="M14" s="39" t="s">
        <v>240</v>
      </c>
      <c r="N14" s="39">
        <v>2017</v>
      </c>
      <c r="O14" s="41" t="str">
        <f t="shared" si="2"/>
        <v>Хорошо
22 июня
2017 года</v>
      </c>
      <c r="P14" s="39" t="s">
        <v>235</v>
      </c>
      <c r="Q14" s="39" t="s">
        <v>236</v>
      </c>
      <c r="R14" s="39" t="s">
        <v>237</v>
      </c>
      <c r="S14" s="39" t="s">
        <v>303</v>
      </c>
      <c r="T14"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Пахомов А.Н., кандидат технических наук, доцент, доцент кафедры «Технологические процессы, аппараты и техносферная безопасность»</v>
      </c>
      <c r="U14" s="42" t="str">
        <f>VLOOKUP(A14,'БД направление'!$A:$H,8,0)</f>
        <v>Процессы и аппараты химической технологии</v>
      </c>
      <c r="V14" s="39" t="s">
        <v>6</v>
      </c>
      <c r="W14" s="39" t="s">
        <v>339</v>
      </c>
      <c r="X14" s="39">
        <v>2019</v>
      </c>
      <c r="Y14" s="42" t="str">
        <f t="shared" si="4"/>
        <v>Отлично 
26 июня
2019 года</v>
      </c>
      <c r="Z14" s="39" t="s">
        <v>304</v>
      </c>
      <c r="AA14" s="39" t="s">
        <v>305</v>
      </c>
      <c r="AB14" s="39" t="s">
        <v>302</v>
      </c>
      <c r="AC14" s="42" t="str">
        <f t="shared" si="5"/>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5" spans="1:29" ht="261" x14ac:dyDescent="0.25">
      <c r="A15" s="30" t="s">
        <v>255</v>
      </c>
      <c r="B15" s="40" t="s">
        <v>1</v>
      </c>
      <c r="C15" s="39" t="s">
        <v>6</v>
      </c>
      <c r="D15" s="39" t="s">
        <v>340</v>
      </c>
      <c r="E15" s="39">
        <v>2017</v>
      </c>
      <c r="F15" s="40" t="str">
        <f t="shared" si="0"/>
        <v>Отлично 
27 января
2017 года</v>
      </c>
      <c r="G15" s="39" t="s">
        <v>10</v>
      </c>
      <c r="H15" s="39" t="s">
        <v>228</v>
      </c>
      <c r="I15" s="39" t="s">
        <v>230</v>
      </c>
      <c r="J15"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5" s="41" t="s">
        <v>5</v>
      </c>
      <c r="L15" s="39" t="s">
        <v>6</v>
      </c>
      <c r="M15" s="39" t="s">
        <v>331</v>
      </c>
      <c r="N15" s="39">
        <v>2017</v>
      </c>
      <c r="O15" s="41" t="str">
        <f t="shared" si="2"/>
        <v>Отлично 
21 июня
2017 года</v>
      </c>
      <c r="P15" s="39" t="s">
        <v>235</v>
      </c>
      <c r="Q15" s="39" t="s">
        <v>287</v>
      </c>
      <c r="R15" s="39" t="s">
        <v>288</v>
      </c>
      <c r="S15" s="39" t="s">
        <v>304</v>
      </c>
      <c r="T15" s="49" t="str">
        <f t="shared" si="3"/>
        <v>Григорьева В.С., кандидат филологических наук, доцент, профессор кафедры «Иностранных языков», заместитель председателя комиссии
Чеботарева Г.Н., кандидат филологических наук, ст. преподаватель кафедры «Международная профессиональная и научная коммуникация»
Гатапова Н.Ц., доктор технических наук, профессор, зав. кафедрой  «Технологические процессы, аппараты и техносферная безопасность»</v>
      </c>
      <c r="U15" s="42" t="str">
        <f>VLOOKUP(A15,'БД направление'!$A:$H,8,0)</f>
        <v>Процессы и аппараты химической технологии</v>
      </c>
      <c r="V15" s="39" t="s">
        <v>6</v>
      </c>
      <c r="W15" s="39" t="s">
        <v>339</v>
      </c>
      <c r="X15" s="39">
        <v>2019</v>
      </c>
      <c r="Y15" s="42" t="str">
        <f t="shared" si="4"/>
        <v>Отлично 
26 июня
2019 года</v>
      </c>
      <c r="Z15" s="39" t="s">
        <v>304</v>
      </c>
      <c r="AA15" s="39" t="s">
        <v>305</v>
      </c>
      <c r="AB15" s="39" t="s">
        <v>302</v>
      </c>
      <c r="AC15" s="42" t="str">
        <f t="shared" si="5"/>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6" spans="1:29" ht="257.25" x14ac:dyDescent="0.25">
      <c r="A16" s="30" t="s">
        <v>341</v>
      </c>
      <c r="B16" s="40" t="s">
        <v>1</v>
      </c>
      <c r="C16" s="39" t="s">
        <v>6</v>
      </c>
      <c r="D16" s="39" t="s">
        <v>332</v>
      </c>
      <c r="E16" s="39">
        <v>2017</v>
      </c>
      <c r="F16" s="40" t="str">
        <f t="shared" si="0"/>
        <v>Отлично 
26 января
2017 года</v>
      </c>
      <c r="G16" s="39" t="s">
        <v>10</v>
      </c>
      <c r="H16" s="39" t="s">
        <v>228</v>
      </c>
      <c r="I16" s="39" t="s">
        <v>230</v>
      </c>
      <c r="J16"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6" s="41" t="s">
        <v>5</v>
      </c>
      <c r="L16" s="39" t="s">
        <v>330</v>
      </c>
      <c r="M16" s="39" t="s">
        <v>240</v>
      </c>
      <c r="N16" s="39">
        <v>2017</v>
      </c>
      <c r="O16" s="41" t="str">
        <f t="shared" si="2"/>
        <v>Хорошо
22 июня
2017 года</v>
      </c>
      <c r="P16" s="39" t="s">
        <v>235</v>
      </c>
      <c r="Q16" s="39" t="s">
        <v>236</v>
      </c>
      <c r="R16" s="39" t="s">
        <v>237</v>
      </c>
      <c r="S16" s="39" t="s">
        <v>310</v>
      </c>
      <c r="T16"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Назаров В.Н., кандидат технических наук, доцент кафедры «Информационные процессы и управление»</v>
      </c>
      <c r="U16" s="42" t="str">
        <f>VLOOKUP(A16,'БД направление'!$A:$H,8,0)</f>
        <v>Автоматизированное управление технологическими процессами и производствами</v>
      </c>
      <c r="V16" s="39" t="s">
        <v>6</v>
      </c>
      <c r="W16" s="39" t="s">
        <v>343</v>
      </c>
      <c r="X16" s="39">
        <v>2019</v>
      </c>
      <c r="Y16" s="42" t="str">
        <f t="shared" si="4"/>
        <v>Отлично 
24 июня
2019 года</v>
      </c>
      <c r="Z16" s="39" t="s">
        <v>311</v>
      </c>
      <c r="AA16" s="39" t="s">
        <v>312</v>
      </c>
      <c r="AB16" s="39" t="s">
        <v>313</v>
      </c>
      <c r="AC16" s="42" t="str">
        <f t="shared" si="5"/>
        <v>Дмитриевский Б.С., доктор технических наук, доцент, профессор кафедры  «Информационные процессы и управление», заместитель председателя комиссии
Третьяков А.А., кандидат технических наук, доцент, доцент кафедры «Информационные процессы и управление»</v>
      </c>
    </row>
    <row r="17" spans="1:29" ht="257.25" x14ac:dyDescent="0.25">
      <c r="A17" s="30" t="s">
        <v>257</v>
      </c>
      <c r="B17" s="40" t="s">
        <v>1</v>
      </c>
      <c r="F17" s="40" t="str">
        <f t="shared" si="0"/>
        <v xml:space="preserve">
 года</v>
      </c>
      <c r="G17" s="39" t="s">
        <v>10</v>
      </c>
      <c r="H17" s="39" t="s">
        <v>228</v>
      </c>
      <c r="I17" s="39" t="s">
        <v>229</v>
      </c>
      <c r="J17"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17" s="41" t="s">
        <v>5</v>
      </c>
      <c r="O17" s="41" t="str">
        <f t="shared" si="2"/>
        <v xml:space="preserve">
 года</v>
      </c>
      <c r="P17" s="39" t="s">
        <v>235</v>
      </c>
      <c r="Q17" s="39" t="s">
        <v>236</v>
      </c>
      <c r="R17" s="39" t="s">
        <v>237</v>
      </c>
      <c r="S17" s="39" t="s">
        <v>238</v>
      </c>
      <c r="T17"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17" s="42" t="str">
        <f>VLOOKUP(A17,'БД направление'!$A:$H,8,0)</f>
        <v>Нанотехнологии и наноматериалы</v>
      </c>
      <c r="Y17" s="42" t="str">
        <f t="shared" si="4"/>
        <v xml:space="preserve">
 года</v>
      </c>
      <c r="Z17" s="39" t="s">
        <v>242</v>
      </c>
      <c r="AA17" s="39" t="s">
        <v>243</v>
      </c>
      <c r="AB17" s="39" t="s">
        <v>238</v>
      </c>
      <c r="AC17"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18" spans="1:29" ht="257.25" x14ac:dyDescent="0.25">
      <c r="A18" s="30" t="s">
        <v>258</v>
      </c>
      <c r="B18" s="40" t="s">
        <v>1</v>
      </c>
      <c r="F18" s="40" t="str">
        <f t="shared" si="0"/>
        <v xml:space="preserve">
 года</v>
      </c>
      <c r="G18" s="39" t="s">
        <v>10</v>
      </c>
      <c r="H18" s="39" t="s">
        <v>228</v>
      </c>
      <c r="I18" s="39" t="s">
        <v>229</v>
      </c>
      <c r="J18"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18" s="41" t="s">
        <v>5</v>
      </c>
      <c r="O18" s="41" t="str">
        <f t="shared" si="2"/>
        <v xml:space="preserve">
 года</v>
      </c>
      <c r="P18" s="39" t="s">
        <v>235</v>
      </c>
      <c r="Q18" s="39" t="s">
        <v>236</v>
      </c>
      <c r="R18" s="39" t="s">
        <v>237</v>
      </c>
      <c r="S18" s="39" t="s">
        <v>238</v>
      </c>
      <c r="T18"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18" s="42" t="str">
        <f>VLOOKUP(A18,'БД направление'!$A:$H,8,0)</f>
        <v>Нанотехнологии и наноматериалы</v>
      </c>
      <c r="Y18" s="42" t="str">
        <f t="shared" si="4"/>
        <v xml:space="preserve">
 года</v>
      </c>
      <c r="Z18" s="39" t="s">
        <v>242</v>
      </c>
      <c r="AA18" s="39" t="s">
        <v>243</v>
      </c>
      <c r="AB18" s="39" t="s">
        <v>238</v>
      </c>
      <c r="AC18"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19" spans="1:29" ht="257.25" x14ac:dyDescent="0.25">
      <c r="A19" s="30" t="s">
        <v>259</v>
      </c>
      <c r="B19" s="40" t="s">
        <v>1</v>
      </c>
      <c r="C19" s="39" t="s">
        <v>6</v>
      </c>
      <c r="D19" s="39" t="s">
        <v>227</v>
      </c>
      <c r="E19" s="39">
        <v>2017</v>
      </c>
      <c r="F19" s="40" t="str">
        <f t="shared" si="0"/>
        <v>Отлично 
24 января
2017 года</v>
      </c>
      <c r="G19" s="39" t="s">
        <v>10</v>
      </c>
      <c r="H19" s="39" t="s">
        <v>228</v>
      </c>
      <c r="I19" s="39" t="s">
        <v>230</v>
      </c>
      <c r="J19"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9" s="41" t="s">
        <v>5</v>
      </c>
      <c r="L19" s="39" t="s">
        <v>6</v>
      </c>
      <c r="M19" s="39" t="s">
        <v>327</v>
      </c>
      <c r="N19" s="39">
        <v>2017</v>
      </c>
      <c r="O19" s="41" t="str">
        <f t="shared" si="2"/>
        <v>Отлично 
20 июня
2017 года</v>
      </c>
      <c r="P19" s="39" t="s">
        <v>235</v>
      </c>
      <c r="Q19" s="39" t="s">
        <v>276</v>
      </c>
      <c r="R19" s="39" t="s">
        <v>271</v>
      </c>
      <c r="S19" s="39" t="s">
        <v>272</v>
      </c>
      <c r="T19" s="49" t="str">
        <f t="shared" si="3"/>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19" s="42" t="str">
        <f>VLOOKUP(A19,'БД направление'!$A:$H,8,0)</f>
        <v>Строительные материалы и изделия</v>
      </c>
      <c r="V19" s="39" t="s">
        <v>6</v>
      </c>
      <c r="W19" s="39" t="s">
        <v>328</v>
      </c>
      <c r="X19" s="39">
        <v>2019</v>
      </c>
      <c r="Y19" s="42" t="str">
        <f t="shared" si="4"/>
        <v>Отлично 
28 июня
2019 года</v>
      </c>
      <c r="Z19" s="39" t="s">
        <v>282</v>
      </c>
      <c r="AA19" s="39" t="s">
        <v>280</v>
      </c>
      <c r="AB19" s="39" t="s">
        <v>283</v>
      </c>
      <c r="AC19" s="42" t="str">
        <f t="shared" si="5"/>
        <v>Леденев В.В., доктор технических наук, профессор, профессор кафедры «Конструкции зданий и сооружений», заместитель председателя комиссии
Монастырев П.В., доктор технических наук, доцент, директор института архитектуры, строительства и транспорта</v>
      </c>
    </row>
    <row r="20" spans="1:29" ht="258.75" x14ac:dyDescent="0.25">
      <c r="A20" s="30" t="s">
        <v>260</v>
      </c>
      <c r="B20" s="40" t="s">
        <v>1</v>
      </c>
      <c r="C20" s="39" t="s">
        <v>6</v>
      </c>
      <c r="D20" s="39" t="s">
        <v>329</v>
      </c>
      <c r="E20" s="39">
        <v>2017</v>
      </c>
      <c r="F20" s="40" t="str">
        <f t="shared" si="0"/>
        <v>Отлично 
25 января
2017 года</v>
      </c>
      <c r="G20" s="39" t="s">
        <v>10</v>
      </c>
      <c r="H20" s="39" t="s">
        <v>228</v>
      </c>
      <c r="I20" s="39" t="s">
        <v>230</v>
      </c>
      <c r="J20"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0" s="41" t="s">
        <v>5</v>
      </c>
      <c r="L20" s="39" t="s">
        <v>330</v>
      </c>
      <c r="M20" s="39" t="s">
        <v>327</v>
      </c>
      <c r="N20" s="39">
        <v>2017</v>
      </c>
      <c r="O20" s="41" t="str">
        <f t="shared" si="2"/>
        <v>Хорошо
20 июня
2017 года</v>
      </c>
      <c r="P20" s="39" t="s">
        <v>235</v>
      </c>
      <c r="Q20" s="39" t="s">
        <v>236</v>
      </c>
      <c r="R20" s="39" t="s">
        <v>237</v>
      </c>
      <c r="S20" s="39" t="s">
        <v>279</v>
      </c>
      <c r="T20"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20" s="42" t="str">
        <f>VLOOKUP(A20,'БД направление'!$A:$H,8,0)</f>
        <v>Информационные системы и процессы</v>
      </c>
      <c r="V20" s="39" t="s">
        <v>344</v>
      </c>
      <c r="Y20" s="42" t="str">
        <f t="shared" si="4"/>
        <v>Удовлетворительно
 года</v>
      </c>
      <c r="Z20" s="39" t="s">
        <v>284</v>
      </c>
      <c r="AA20" s="39" t="s">
        <v>286</v>
      </c>
      <c r="AB20" s="39" t="s">
        <v>285</v>
      </c>
      <c r="AC20" s="42" t="str">
        <f t="shared" si="5"/>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21" spans="1:29" ht="328.5" x14ac:dyDescent="0.25">
      <c r="A21" s="30" t="s">
        <v>322</v>
      </c>
      <c r="B21" s="40" t="s">
        <v>1</v>
      </c>
      <c r="C21" s="39" t="s">
        <v>330</v>
      </c>
      <c r="D21" s="39" t="s">
        <v>340</v>
      </c>
      <c r="E21" s="39">
        <v>2017</v>
      </c>
      <c r="F21" s="40" t="str">
        <f t="shared" si="0"/>
        <v>Хорошо
27 января
2017 года</v>
      </c>
      <c r="G21" s="39" t="s">
        <v>10</v>
      </c>
      <c r="H21" s="39" t="s">
        <v>228</v>
      </c>
      <c r="I21" s="39" t="s">
        <v>230</v>
      </c>
      <c r="J21"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1" s="41" t="s">
        <v>5</v>
      </c>
      <c r="L21" s="39" t="s">
        <v>6</v>
      </c>
      <c r="M21" s="39" t="s">
        <v>240</v>
      </c>
      <c r="N21" s="39">
        <v>2017</v>
      </c>
      <c r="O21" s="41" t="str">
        <f t="shared" si="2"/>
        <v>Отлично 
22 июня
2017 года</v>
      </c>
      <c r="P21" s="39" t="s">
        <v>235</v>
      </c>
      <c r="Q21" s="39" t="s">
        <v>307</v>
      </c>
      <c r="R21" s="39" t="s">
        <v>308</v>
      </c>
      <c r="S21" s="39" t="s">
        <v>309</v>
      </c>
      <c r="T21" s="49" t="str">
        <f t="shared" si="3"/>
        <v>Губанова Т.В., кандидат филологических наук, доцент, доцент кафедры «Русская филология», заместитель председателя комиссии
Немцова Н.М., кандидат филологических наук, доцент, зам. декана факультета международного образования
Промтов М.А., доктор технических наук, профессор, декан факультета международного образования</v>
      </c>
      <c r="U21" s="42" t="str">
        <f>VLOOKUP(A21,'БД направление'!$A:$H,8,0)</f>
        <v>Процессы и аппараты химической технологии</v>
      </c>
      <c r="V21" s="39" t="s">
        <v>6</v>
      </c>
      <c r="W21" s="39" t="s">
        <v>339</v>
      </c>
      <c r="X21" s="39">
        <v>2019</v>
      </c>
      <c r="Y21" s="42" t="str">
        <f t="shared" si="4"/>
        <v>Отлично 
26 июня
2019 года</v>
      </c>
      <c r="Z21" s="39" t="s">
        <v>304</v>
      </c>
      <c r="AA21" s="39" t="s">
        <v>305</v>
      </c>
      <c r="AB21" s="39" t="s">
        <v>302</v>
      </c>
      <c r="AC21" s="42" t="str">
        <f t="shared" si="5"/>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22" spans="1:29" ht="257.25" x14ac:dyDescent="0.25">
      <c r="A22" s="30" t="s">
        <v>261</v>
      </c>
      <c r="B22" s="40" t="s">
        <v>1</v>
      </c>
      <c r="F22" s="40" t="str">
        <f t="shared" si="0"/>
        <v xml:space="preserve">
 года</v>
      </c>
      <c r="G22" s="39" t="s">
        <v>10</v>
      </c>
      <c r="H22" s="39" t="s">
        <v>228</v>
      </c>
      <c r="I22" s="39" t="s">
        <v>229</v>
      </c>
      <c r="J22"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2" s="41" t="s">
        <v>5</v>
      </c>
      <c r="O22" s="41" t="str">
        <f t="shared" si="2"/>
        <v xml:space="preserve">
 года</v>
      </c>
      <c r="P22" s="39" t="s">
        <v>235</v>
      </c>
      <c r="Q22" s="39" t="s">
        <v>236</v>
      </c>
      <c r="R22" s="39" t="s">
        <v>237</v>
      </c>
      <c r="S22" s="39" t="s">
        <v>238</v>
      </c>
      <c r="T22"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2" s="42" t="str">
        <f>VLOOKUP(A22,'БД направление'!$A:$H,8,0)</f>
        <v>Нанотехнологии и наноматериалы</v>
      </c>
      <c r="Y22" s="42" t="str">
        <f t="shared" si="4"/>
        <v xml:space="preserve">
 года</v>
      </c>
      <c r="Z22" s="39" t="s">
        <v>242</v>
      </c>
      <c r="AA22" s="39" t="s">
        <v>243</v>
      </c>
      <c r="AB22" s="39" t="s">
        <v>238</v>
      </c>
      <c r="AC22"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3" spans="1:29" ht="257.25" x14ac:dyDescent="0.25">
      <c r="A23" s="30" t="s">
        <v>262</v>
      </c>
      <c r="B23" s="40" t="s">
        <v>1</v>
      </c>
      <c r="C23" s="39" t="s">
        <v>6</v>
      </c>
      <c r="D23" s="39" t="s">
        <v>345</v>
      </c>
      <c r="E23" s="39">
        <v>2017</v>
      </c>
      <c r="F23" s="40" t="str">
        <f t="shared" si="0"/>
        <v>Отлично 
28 января
2017 года</v>
      </c>
      <c r="G23" s="39" t="s">
        <v>10</v>
      </c>
      <c r="H23" s="39" t="s">
        <v>228</v>
      </c>
      <c r="I23" s="39" t="s">
        <v>230</v>
      </c>
      <c r="J23"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3" s="41" t="s">
        <v>5</v>
      </c>
      <c r="L23" s="39" t="s">
        <v>6</v>
      </c>
      <c r="M23" s="39" t="s">
        <v>346</v>
      </c>
      <c r="N23" s="39">
        <v>2017</v>
      </c>
      <c r="O23" s="41" t="str">
        <f t="shared" si="2"/>
        <v>Отлично 
23 июня
2017 года</v>
      </c>
      <c r="P23" s="39" t="s">
        <v>235</v>
      </c>
      <c r="Q23" s="39" t="s">
        <v>236</v>
      </c>
      <c r="R23" s="39" t="s">
        <v>237</v>
      </c>
      <c r="S23" s="39" t="s">
        <v>314</v>
      </c>
      <c r="T23" s="49" t="str">
        <f t="shared" si="3"/>
        <v xml:space="preserve">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Пасько Т.В., кандидат технических наук, доцент, доцент кафедры «Техника и технологии производства нанопродуктов» </v>
      </c>
      <c r="U23" s="42" t="str">
        <f>VLOOKUP(A23,'БД направление'!$A:$H,8,0)</f>
        <v>Нанотехнологии и наноматериалы</v>
      </c>
      <c r="V23" s="39" t="s">
        <v>6</v>
      </c>
      <c r="W23" s="39" t="s">
        <v>241</v>
      </c>
      <c r="X23" s="39">
        <v>2019</v>
      </c>
      <c r="Y23" s="42" t="str">
        <f t="shared" si="4"/>
        <v>Отлично 
27 июня
2019 года</v>
      </c>
      <c r="Z23" s="39" t="s">
        <v>300</v>
      </c>
      <c r="AA23" s="39" t="s">
        <v>315</v>
      </c>
      <c r="AB23" s="39" t="s">
        <v>316</v>
      </c>
      <c r="AC23" s="42" t="str">
        <f t="shared" si="5"/>
        <v>Рухов А.В., доктор технических наук, доцент, зав. кафедрой «Химия и химические технологии», заместитель председателя комиссии
Туголуков Е.Н., доктор технических наук, профессор, профессор кафедры  «Техника и технологии производства нанопродуктов»</v>
      </c>
    </row>
    <row r="24" spans="1:29" ht="257.25" x14ac:dyDescent="0.25">
      <c r="A24" s="30" t="s">
        <v>264</v>
      </c>
      <c r="B24" s="40" t="s">
        <v>1</v>
      </c>
      <c r="F24" s="40" t="str">
        <f t="shared" si="0"/>
        <v xml:space="preserve">
 года</v>
      </c>
      <c r="G24" s="39" t="s">
        <v>10</v>
      </c>
      <c r="H24" s="39" t="s">
        <v>228</v>
      </c>
      <c r="I24" s="39" t="s">
        <v>229</v>
      </c>
      <c r="J24"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4" s="41" t="s">
        <v>5</v>
      </c>
      <c r="O24" s="41" t="str">
        <f t="shared" si="2"/>
        <v xml:space="preserve">
 года</v>
      </c>
      <c r="P24" s="39" t="s">
        <v>235</v>
      </c>
      <c r="Q24" s="39" t="s">
        <v>236</v>
      </c>
      <c r="R24" s="39" t="s">
        <v>237</v>
      </c>
      <c r="S24" s="39" t="s">
        <v>238</v>
      </c>
      <c r="T24"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4" s="42" t="str">
        <f>VLOOKUP(A24,'БД направление'!$A:$H,8,0)</f>
        <v>Отечественная история</v>
      </c>
      <c r="Y24" s="42" t="str">
        <f t="shared" si="4"/>
        <v xml:space="preserve">
 года</v>
      </c>
      <c r="Z24" s="39" t="s">
        <v>242</v>
      </c>
      <c r="AA24" s="39" t="s">
        <v>243</v>
      </c>
      <c r="AB24" s="39" t="s">
        <v>238</v>
      </c>
      <c r="AC24"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5" spans="1:29" ht="257.25" x14ac:dyDescent="0.25">
      <c r="A25" s="30" t="s">
        <v>265</v>
      </c>
      <c r="B25" s="40" t="s">
        <v>1</v>
      </c>
      <c r="F25" s="40" t="str">
        <f t="shared" si="0"/>
        <v xml:space="preserve">
 года</v>
      </c>
      <c r="G25" s="39" t="s">
        <v>10</v>
      </c>
      <c r="H25" s="39" t="s">
        <v>228</v>
      </c>
      <c r="I25" s="39" t="s">
        <v>229</v>
      </c>
      <c r="J25"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5" s="41" t="s">
        <v>5</v>
      </c>
      <c r="O25" s="41" t="str">
        <f t="shared" si="2"/>
        <v xml:space="preserve">
 года</v>
      </c>
      <c r="P25" s="39" t="s">
        <v>235</v>
      </c>
      <c r="Q25" s="39" t="s">
        <v>236</v>
      </c>
      <c r="R25" s="39" t="s">
        <v>237</v>
      </c>
      <c r="S25" s="39" t="s">
        <v>238</v>
      </c>
      <c r="T25"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5" s="42" t="str">
        <f>VLOOKUP(A25,'БД направление'!$A:$H,8,0)</f>
        <v>Отечественная история</v>
      </c>
      <c r="Y25" s="42" t="str">
        <f t="shared" si="4"/>
        <v xml:space="preserve">
 года</v>
      </c>
      <c r="Z25" s="39" t="s">
        <v>242</v>
      </c>
      <c r="AA25" s="39" t="s">
        <v>243</v>
      </c>
      <c r="AB25" s="39" t="s">
        <v>238</v>
      </c>
      <c r="AC25"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6" spans="1:29" ht="311.25" x14ac:dyDescent="0.25">
      <c r="A26" s="30" t="s">
        <v>266</v>
      </c>
      <c r="B26" s="40" t="s">
        <v>1</v>
      </c>
      <c r="C26" s="39" t="s">
        <v>6</v>
      </c>
      <c r="D26" s="39" t="s">
        <v>347</v>
      </c>
      <c r="E26" s="39">
        <v>2017</v>
      </c>
      <c r="F26" s="40" t="str">
        <f t="shared" si="0"/>
        <v>Отлично 
23 января
2017 года</v>
      </c>
      <c r="G26" s="39" t="s">
        <v>10</v>
      </c>
      <c r="H26" s="39" t="s">
        <v>228</v>
      </c>
      <c r="I26" s="39" t="s">
        <v>230</v>
      </c>
      <c r="J26" s="40" t="str">
        <f t="shared" si="1"/>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6" s="41" t="s">
        <v>5</v>
      </c>
      <c r="L26" s="39" t="s">
        <v>330</v>
      </c>
      <c r="M26" s="39" t="s">
        <v>327</v>
      </c>
      <c r="N26" s="39">
        <v>2017</v>
      </c>
      <c r="O26" s="41" t="str">
        <f t="shared" si="2"/>
        <v>Хорошо
20 июня
2017 года</v>
      </c>
      <c r="P26" s="39" t="s">
        <v>235</v>
      </c>
      <c r="Q26" s="39" t="s">
        <v>236</v>
      </c>
      <c r="R26" s="39" t="s">
        <v>237</v>
      </c>
      <c r="S26" s="39" t="s">
        <v>279</v>
      </c>
      <c r="T26" s="49" t="str">
        <f>CONCATENATE(Q26,CHAR(10),R26,CHAR(10),S26)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26" s="42" t="str">
        <f>VLOOKUP(A26,'БД направление'!$A:$H,8,0)</f>
        <v>Системный анализ, управление и обработка информации</v>
      </c>
      <c r="V26" s="39" t="s">
        <v>330</v>
      </c>
      <c r="W26" s="39" t="s">
        <v>333</v>
      </c>
      <c r="X26" s="39">
        <v>2019</v>
      </c>
      <c r="Y26" s="42" t="str">
        <f t="shared" si="4"/>
        <v>Хорошо
25 июня
2019 года</v>
      </c>
      <c r="Z26" s="39" t="s">
        <v>317</v>
      </c>
      <c r="AA26" s="39" t="s">
        <v>318</v>
      </c>
      <c r="AB26" s="39" t="s">
        <v>319</v>
      </c>
      <c r="AC26" s="42" t="str">
        <f t="shared" si="5"/>
        <v>Карпушкин С.В., доктор технических наук, профессор, профессор кафедры «Компьютерно-интегрированные системы в машиностроении», заместитель председателя комиссии
Алексеев В.В., доктор технических наук, профессор, зав. кафедрой «Информационные системы и защита информации»</v>
      </c>
    </row>
    <row r="27" spans="1:29" ht="257.25" x14ac:dyDescent="0.25">
      <c r="A27" s="30" t="s">
        <v>323</v>
      </c>
      <c r="B27" s="40" t="s">
        <v>1</v>
      </c>
      <c r="F27" s="40" t="str">
        <f t="shared" si="0"/>
        <v xml:space="preserve">
 года</v>
      </c>
      <c r="G27" s="39" t="s">
        <v>10</v>
      </c>
      <c r="H27" s="39" t="s">
        <v>228</v>
      </c>
      <c r="I27" s="39" t="s">
        <v>229</v>
      </c>
      <c r="J27"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7" s="41" t="s">
        <v>5</v>
      </c>
      <c r="O27" s="41" t="str">
        <f t="shared" si="2"/>
        <v xml:space="preserve">
 года</v>
      </c>
      <c r="P27" s="39" t="s">
        <v>235</v>
      </c>
      <c r="Q27" s="39" t="s">
        <v>236</v>
      </c>
      <c r="R27" s="39" t="s">
        <v>237</v>
      </c>
      <c r="S27" s="39" t="s">
        <v>238</v>
      </c>
      <c r="T27"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7" s="42" t="str">
        <f>VLOOKUP(A27,'БД направление'!$A:$H,8,0)</f>
        <v>Политические институты, процессы и технологии</v>
      </c>
      <c r="Y27" s="42" t="str">
        <f t="shared" si="4"/>
        <v xml:space="preserve">
 года</v>
      </c>
      <c r="Z27" s="39" t="s">
        <v>242</v>
      </c>
      <c r="AA27" s="39" t="s">
        <v>243</v>
      </c>
      <c r="AB27" s="39" t="s">
        <v>238</v>
      </c>
      <c r="AC27"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8" spans="1:29" ht="257.25" x14ac:dyDescent="0.25">
      <c r="A28" s="30" t="s">
        <v>267</v>
      </c>
      <c r="B28" s="40" t="s">
        <v>1</v>
      </c>
      <c r="F28" s="40" t="str">
        <f t="shared" si="0"/>
        <v xml:space="preserve">
 года</v>
      </c>
      <c r="G28" s="39" t="s">
        <v>10</v>
      </c>
      <c r="H28" s="39" t="s">
        <v>228</v>
      </c>
      <c r="I28" s="39" t="s">
        <v>229</v>
      </c>
      <c r="J28"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8" s="41" t="s">
        <v>5</v>
      </c>
      <c r="O28" s="41" t="str">
        <f t="shared" si="2"/>
        <v xml:space="preserve">
 года</v>
      </c>
      <c r="P28" s="39" t="s">
        <v>235</v>
      </c>
      <c r="Q28" s="39" t="s">
        <v>236</v>
      </c>
      <c r="R28" s="39" t="s">
        <v>237</v>
      </c>
      <c r="S28" s="39" t="s">
        <v>238</v>
      </c>
      <c r="T28"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8" s="42" t="str">
        <f>VLOOKUP(A28,'БД направление'!$A:$H,8,0)</f>
        <v>Экономика и управление народным хозяйством</v>
      </c>
      <c r="Y28" s="42" t="str">
        <f t="shared" si="4"/>
        <v xml:space="preserve">
 года</v>
      </c>
      <c r="Z28" s="39" t="s">
        <v>242</v>
      </c>
      <c r="AA28" s="39" t="s">
        <v>243</v>
      </c>
      <c r="AB28" s="39" t="s">
        <v>238</v>
      </c>
      <c r="AC28"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9" spans="1:29" ht="257.25" x14ac:dyDescent="0.25">
      <c r="A29" s="30" t="s">
        <v>324</v>
      </c>
      <c r="B29" s="40" t="s">
        <v>1</v>
      </c>
      <c r="F29" s="40" t="str">
        <f t="shared" si="0"/>
        <v xml:space="preserve">
 года</v>
      </c>
      <c r="G29" s="39" t="s">
        <v>10</v>
      </c>
      <c r="H29" s="39" t="s">
        <v>228</v>
      </c>
      <c r="I29" s="39" t="s">
        <v>229</v>
      </c>
      <c r="J29"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9" s="41" t="s">
        <v>5</v>
      </c>
      <c r="O29" s="41" t="str">
        <f t="shared" si="2"/>
        <v xml:space="preserve">
 года</v>
      </c>
      <c r="P29" s="39" t="s">
        <v>235</v>
      </c>
      <c r="Q29" s="39" t="s">
        <v>236</v>
      </c>
      <c r="R29" s="39" t="s">
        <v>237</v>
      </c>
      <c r="S29" s="39" t="s">
        <v>238</v>
      </c>
      <c r="T29"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9" s="42" t="str">
        <f>VLOOKUP(A29,'БД направление'!$A:$H,8,0)</f>
        <v>Финансы, денежное обращение и кредит</v>
      </c>
      <c r="Y29" s="42" t="str">
        <f t="shared" si="4"/>
        <v xml:space="preserve">
 года</v>
      </c>
      <c r="Z29" s="39" t="s">
        <v>242</v>
      </c>
      <c r="AA29" s="39" t="s">
        <v>243</v>
      </c>
      <c r="AB29" s="39" t="s">
        <v>238</v>
      </c>
      <c r="AC29"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0" spans="1:29" ht="257.25" x14ac:dyDescent="0.25">
      <c r="A30" s="30" t="s">
        <v>268</v>
      </c>
      <c r="B30" s="40" t="s">
        <v>1</v>
      </c>
      <c r="F30" s="40" t="str">
        <f t="shared" si="0"/>
        <v xml:space="preserve">
 года</v>
      </c>
      <c r="G30" s="39" t="s">
        <v>10</v>
      </c>
      <c r="H30" s="39" t="s">
        <v>228</v>
      </c>
      <c r="I30" s="39" t="s">
        <v>229</v>
      </c>
      <c r="J30"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0" s="41" t="s">
        <v>5</v>
      </c>
      <c r="O30" s="41" t="str">
        <f t="shared" si="2"/>
        <v xml:space="preserve">
 года</v>
      </c>
      <c r="P30" s="39" t="s">
        <v>235</v>
      </c>
      <c r="Q30" s="39" t="s">
        <v>236</v>
      </c>
      <c r="R30" s="39" t="s">
        <v>237</v>
      </c>
      <c r="S30" s="39" t="s">
        <v>238</v>
      </c>
      <c r="T30"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0" s="42" t="str">
        <f>VLOOKUP(A30,'БД направление'!$A:$H,8,0)</f>
        <v>Политические институты, процессы и технологии</v>
      </c>
      <c r="Y30" s="42" t="str">
        <f t="shared" si="4"/>
        <v xml:space="preserve">
 года</v>
      </c>
      <c r="Z30" s="39" t="s">
        <v>242</v>
      </c>
      <c r="AA30" s="39" t="s">
        <v>243</v>
      </c>
      <c r="AB30" s="39" t="s">
        <v>238</v>
      </c>
      <c r="AC30"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1" spans="1:29" ht="257.25" x14ac:dyDescent="0.25">
      <c r="A31" s="30" t="s">
        <v>269</v>
      </c>
      <c r="B31" s="40" t="s">
        <v>1</v>
      </c>
      <c r="F31" s="40" t="str">
        <f t="shared" si="0"/>
        <v xml:space="preserve">
 года</v>
      </c>
      <c r="G31" s="39" t="s">
        <v>10</v>
      </c>
      <c r="H31" s="39" t="s">
        <v>228</v>
      </c>
      <c r="I31" s="39" t="s">
        <v>229</v>
      </c>
      <c r="J31" s="40" t="str">
        <f t="shared" si="1"/>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1" s="41" t="s">
        <v>5</v>
      </c>
      <c r="O31" s="41" t="str">
        <f t="shared" si="2"/>
        <v xml:space="preserve">
 года</v>
      </c>
      <c r="P31" s="39" t="s">
        <v>235</v>
      </c>
      <c r="Q31" s="39" t="s">
        <v>236</v>
      </c>
      <c r="R31" s="39" t="s">
        <v>237</v>
      </c>
      <c r="S31" s="39" t="s">
        <v>238</v>
      </c>
      <c r="T31" s="49" t="str">
        <f t="shared" si="3"/>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1" s="42" t="str">
        <f>VLOOKUP(A31,'БД направление'!$A:$H,8,0)</f>
        <v>Политические институты, процессы и технологии</v>
      </c>
      <c r="Y31" s="42" t="str">
        <f t="shared" si="4"/>
        <v xml:space="preserve">
 года</v>
      </c>
      <c r="Z31" s="39" t="s">
        <v>242</v>
      </c>
      <c r="AA31" s="39" t="s">
        <v>243</v>
      </c>
      <c r="AB31" s="39" t="s">
        <v>238</v>
      </c>
      <c r="AC31" s="42" t="str">
        <f t="shared" si="5"/>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5" spans="1:29" ht="15.75" thickBot="1" x14ac:dyDescent="0.3"/>
    <row r="36" spans="1:29" ht="258.75" thickBot="1" x14ac:dyDescent="0.3">
      <c r="A36" s="70" t="s">
        <v>246</v>
      </c>
      <c r="B36" s="71" t="s">
        <v>1</v>
      </c>
      <c r="C36" s="72"/>
      <c r="D36" s="72"/>
      <c r="E36" s="72"/>
      <c r="F36" s="71" t="str">
        <f>CONCATENATE(C36,CHAR(10),D36,CHAR(10),E36," года")</f>
        <v xml:space="preserve">
 года</v>
      </c>
      <c r="G36" s="73" t="s">
        <v>10</v>
      </c>
      <c r="H36" s="73" t="s">
        <v>228</v>
      </c>
      <c r="I36" s="73" t="s">
        <v>229</v>
      </c>
      <c r="J36" s="71" t="str">
        <f>CONCATENATE(H36,CHAR(10),I36)</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6" s="74" t="s">
        <v>5</v>
      </c>
      <c r="L36" s="72"/>
      <c r="M36" s="72"/>
      <c r="N36" s="72"/>
      <c r="O36" s="74" t="str">
        <f>CONCATENATE(L36,CHAR(10),M36,CHAR(10),N36," года")</f>
        <v xml:space="preserve">
 года</v>
      </c>
      <c r="P36" s="73" t="s">
        <v>235</v>
      </c>
      <c r="Q36" s="73" t="s">
        <v>236</v>
      </c>
      <c r="R36" s="73" t="s">
        <v>237</v>
      </c>
      <c r="S36" s="73" t="s">
        <v>238</v>
      </c>
      <c r="T36" s="75" t="str">
        <f>CONCATENATE(Q36,CHAR(10),R36,CHAR(10),S36)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6" s="76" t="str">
        <f>VLOOKUP(A36,'БД направление'!$A:$H,8,0)</f>
        <v>Строительные материалы и изделия</v>
      </c>
      <c r="V36" s="72"/>
      <c r="W36" s="72"/>
      <c r="X36" s="72"/>
      <c r="Y36" s="76" t="str">
        <f>CONCATENATE(V36,CHAR(10),W36,CHAR(10),X36," года")</f>
        <v xml:space="preserve">
 года</v>
      </c>
      <c r="Z36" s="73" t="s">
        <v>242</v>
      </c>
      <c r="AA36" s="73" t="s">
        <v>243</v>
      </c>
      <c r="AB36" s="73" t="s">
        <v>238</v>
      </c>
      <c r="AC36" s="77" t="str">
        <f>CONCATENATE(AA36,CHAR(10),AB36)</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7" spans="1:29" ht="258.75" thickBot="1" x14ac:dyDescent="0.3">
      <c r="A37" s="70" t="s">
        <v>256</v>
      </c>
      <c r="B37" s="71" t="s">
        <v>1</v>
      </c>
      <c r="C37" s="72"/>
      <c r="D37" s="72"/>
      <c r="E37" s="72"/>
      <c r="F37" s="71" t="str">
        <f>CONCATENATE(C37,CHAR(10),D37,CHAR(10),E37," года")</f>
        <v xml:space="preserve">
 года</v>
      </c>
      <c r="G37" s="73" t="s">
        <v>10</v>
      </c>
      <c r="H37" s="73" t="s">
        <v>228</v>
      </c>
      <c r="I37" s="73" t="s">
        <v>229</v>
      </c>
      <c r="J37" s="71" t="str">
        <f>CONCATENATE(H37,CHAR(10),I37)</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7" s="74" t="s">
        <v>5</v>
      </c>
      <c r="L37" s="72"/>
      <c r="M37" s="72"/>
      <c r="N37" s="72"/>
      <c r="O37" s="74" t="str">
        <f>CONCATENATE(L37,CHAR(10),M37,CHAR(10),N37," года")</f>
        <v xml:space="preserve">
 года</v>
      </c>
      <c r="P37" s="73" t="s">
        <v>235</v>
      </c>
      <c r="Q37" s="73" t="s">
        <v>236</v>
      </c>
      <c r="R37" s="73" t="s">
        <v>237</v>
      </c>
      <c r="S37" s="73" t="s">
        <v>238</v>
      </c>
      <c r="T37" s="75" t="str">
        <f>CONCATENATE(Q37,CHAR(10),R37,CHAR(10),S37)</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7" s="76" t="str">
        <f>VLOOKUP(A37,'БД направление'!$A:$H,8,0)</f>
        <v>Процессы и аппараты химической технологии</v>
      </c>
      <c r="V37" s="72"/>
      <c r="W37" s="72"/>
      <c r="X37" s="72"/>
      <c r="Y37" s="76" t="str">
        <f>CONCATENATE(V37,CHAR(10),W37,CHAR(10),X37," года")</f>
        <v xml:space="preserve">
 года</v>
      </c>
      <c r="Z37" s="73" t="s">
        <v>242</v>
      </c>
      <c r="AA37" s="73" t="s">
        <v>243</v>
      </c>
      <c r="AB37" s="73" t="s">
        <v>238</v>
      </c>
      <c r="AC37" s="77" t="str">
        <f>CONCATENATE(AA37,CHAR(10),AB37)</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8" spans="1:29" ht="258.75" thickBot="1" x14ac:dyDescent="0.3">
      <c r="A38" s="70" t="s">
        <v>263</v>
      </c>
      <c r="B38" s="71" t="s">
        <v>1</v>
      </c>
      <c r="C38" s="72"/>
      <c r="D38" s="72"/>
      <c r="E38" s="72"/>
      <c r="F38" s="71" t="str">
        <f>CONCATENATE(C38,CHAR(10),D38,CHAR(10),E38," года")</f>
        <v xml:space="preserve">
 года</v>
      </c>
      <c r="G38" s="73" t="s">
        <v>10</v>
      </c>
      <c r="H38" s="73" t="s">
        <v>228</v>
      </c>
      <c r="I38" s="73" t="s">
        <v>229</v>
      </c>
      <c r="J38" s="71" t="str">
        <f>CONCATENATE(H38,CHAR(10),I38)</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8" s="74" t="s">
        <v>5</v>
      </c>
      <c r="L38" s="72"/>
      <c r="M38" s="72"/>
      <c r="N38" s="72"/>
      <c r="O38" s="74" t="str">
        <f>CONCATENATE(L38,CHAR(10),M38,CHAR(10),N38," года")</f>
        <v xml:space="preserve">
 года</v>
      </c>
      <c r="P38" s="73" t="s">
        <v>235</v>
      </c>
      <c r="Q38" s="73" t="s">
        <v>236</v>
      </c>
      <c r="R38" s="73" t="s">
        <v>237</v>
      </c>
      <c r="S38" s="73" t="s">
        <v>238</v>
      </c>
      <c r="T38" s="75" t="str">
        <f>CONCATENATE(Q38,CHAR(10),R38,CHAR(10),S38)</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8" s="76" t="str">
        <f>VLOOKUP(A38,'БД направление'!$A:$H,8,0)</f>
        <v>Теория языка</v>
      </c>
      <c r="V38" s="72"/>
      <c r="W38" s="72"/>
      <c r="X38" s="72"/>
      <c r="Y38" s="76" t="str">
        <f>CONCATENATE(V38,CHAR(10),W38,CHAR(10),X38," года")</f>
        <v xml:space="preserve">
 года</v>
      </c>
      <c r="Z38" s="73" t="s">
        <v>242</v>
      </c>
      <c r="AA38" s="73" t="s">
        <v>243</v>
      </c>
      <c r="AB38" s="73" t="s">
        <v>238</v>
      </c>
      <c r="AC38" s="77" t="str">
        <f>CONCATENATE(AA38,CHAR(10),AB38)</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D00-000000000000}">
          <x14:formula1>
            <xm:f>'Комиссия по ИиФ'!$A:$A</xm:f>
          </x14:formula1>
          <xm:sqref>G36:G38 G2:G23 G24:G31</xm:sqref>
        </x14:dataValidation>
        <x14:dataValidation type="list" allowBlank="1" showInputMessage="1" showErrorMessage="1" xr:uid="{00000000-0002-0000-0D00-000001000000}">
          <x14:formula1>
            <xm:f>'Комиссия по ИиФ'!$B:$B</xm:f>
          </x14:formula1>
          <xm:sqref>H36:I38 H2:I23 H24:I31</xm:sqref>
        </x14:dataValidation>
        <x14:dataValidation type="list" allowBlank="1" showInputMessage="1" showErrorMessage="1" xr:uid="{00000000-0002-0000-0D00-000002000000}">
          <x14:formula1>
            <xm:f>'Комиссия по ИнЯ'!$A:$A</xm:f>
          </x14:formula1>
          <xm:sqref>P36:P38 P2:P23 P24:P31</xm:sqref>
        </x14:dataValidation>
        <x14:dataValidation type="list" allowBlank="1" showInputMessage="1" showErrorMessage="1" xr:uid="{00000000-0002-0000-0D00-000003000000}">
          <x14:formula1>
            <xm:f>'Комиссия по ИнЯ'!$B:$B</xm:f>
          </x14:formula1>
          <xm:sqref>Q36:S38 Q2:S23 Q24:S31</xm:sqref>
        </x14:dataValidation>
        <x14:dataValidation type="list" allowBlank="1" showInputMessage="1" showErrorMessage="1" xr:uid="{00000000-0002-0000-0D00-000004000000}">
          <x14:formula1>
            <xm:f>'Комиссия по специальности'!$A:$A</xm:f>
          </x14:formula1>
          <xm:sqref>Z36:Z38 Z2:Z23 Z24:Z31</xm:sqref>
        </x14:dataValidation>
        <x14:dataValidation type="list" allowBlank="1" showInputMessage="1" showErrorMessage="1" xr:uid="{00000000-0002-0000-0D00-000005000000}">
          <x14:formula1>
            <xm:f>'Комиссия по специальности'!$B:$B</xm:f>
          </x14:formula1>
          <xm:sqref>AA36:AB38 AA2:AB23 AA24:AB31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dimension ref="A1:E31"/>
  <sheetViews>
    <sheetView workbookViewId="0">
      <selection activeCell="A25" sqref="A1:XFD1048576"/>
    </sheetView>
  </sheetViews>
  <sheetFormatPr defaultColWidth="9.140625" defaultRowHeight="18.75" x14ac:dyDescent="0.3"/>
  <cols>
    <col min="1" max="1" width="20.7109375" style="17" customWidth="1"/>
    <col min="2" max="2" width="30.7109375" style="18" customWidth="1"/>
    <col min="3" max="3" width="13.42578125" style="27" customWidth="1"/>
    <col min="4" max="4" width="19.28515625" style="28" customWidth="1"/>
    <col min="5" max="5" width="45.7109375" customWidth="1"/>
  </cols>
  <sheetData>
    <row r="1" spans="1:5" s="24" customFormat="1" ht="37.5" x14ac:dyDescent="0.25">
      <c r="A1" s="16" t="s">
        <v>110</v>
      </c>
      <c r="B1" s="16" t="s">
        <v>111</v>
      </c>
      <c r="C1" s="25" t="s">
        <v>77</v>
      </c>
      <c r="D1" s="22" t="s">
        <v>174</v>
      </c>
      <c r="E1" s="16" t="s">
        <v>79</v>
      </c>
    </row>
    <row r="2" spans="1:5" ht="56.25" x14ac:dyDescent="0.25">
      <c r="A2" s="14" t="s">
        <v>112</v>
      </c>
      <c r="B2" s="14" t="s">
        <v>113</v>
      </c>
      <c r="C2" s="26" t="s">
        <v>154</v>
      </c>
      <c r="D2" s="20" t="s">
        <v>113</v>
      </c>
      <c r="E2" s="14" t="str">
        <f>CONCATENATE(C2," ",D2)</f>
        <v>01.02.04 Механика деформируемого твердого тела</v>
      </c>
    </row>
    <row r="3" spans="1:5" x14ac:dyDescent="0.25">
      <c r="A3" s="14" t="s">
        <v>80</v>
      </c>
      <c r="B3" s="14" t="s">
        <v>81</v>
      </c>
      <c r="C3" s="26" t="s">
        <v>155</v>
      </c>
      <c r="D3" s="20" t="s">
        <v>81</v>
      </c>
      <c r="E3" s="14" t="str">
        <f t="shared" ref="E3:E31" si="0">CONCATENATE(C3," ",D3)</f>
        <v>02.00.05 Электрохимия</v>
      </c>
    </row>
    <row r="4" spans="1:5" ht="31.5" x14ac:dyDescent="0.25">
      <c r="A4" s="14" t="s">
        <v>114</v>
      </c>
      <c r="B4" s="14" t="s">
        <v>115</v>
      </c>
      <c r="C4" s="26" t="s">
        <v>156</v>
      </c>
      <c r="D4" s="20" t="s">
        <v>157</v>
      </c>
      <c r="E4" s="14" t="str">
        <f t="shared" si="0"/>
        <v>03.02.08 Экология (по отраслям)</v>
      </c>
    </row>
    <row r="5" spans="1:5" ht="63" x14ac:dyDescent="0.25">
      <c r="A5" s="14" t="s">
        <v>82</v>
      </c>
      <c r="B5" s="15" t="s">
        <v>83</v>
      </c>
      <c r="C5" s="26" t="s">
        <v>158</v>
      </c>
      <c r="D5" s="20" t="s">
        <v>83</v>
      </c>
      <c r="E5" s="14" t="str">
        <f t="shared" si="0"/>
        <v>05.23.01 Строительные конструкции, здания и сооружения</v>
      </c>
    </row>
    <row r="6" spans="1:5" ht="47.25" x14ac:dyDescent="0.25">
      <c r="A6" s="14" t="s">
        <v>84</v>
      </c>
      <c r="B6" s="14" t="s">
        <v>85</v>
      </c>
      <c r="C6" s="26" t="s">
        <v>159</v>
      </c>
      <c r="D6" s="20" t="s">
        <v>85</v>
      </c>
      <c r="E6" s="14" t="str">
        <f t="shared" si="0"/>
        <v>05.23.05 Строительные материалы и изделия</v>
      </c>
    </row>
    <row r="7" spans="1:5" ht="126" x14ac:dyDescent="0.25">
      <c r="A7" s="14" t="s">
        <v>116</v>
      </c>
      <c r="B7" s="14" t="s">
        <v>117</v>
      </c>
      <c r="C7" s="26" t="s">
        <v>160</v>
      </c>
      <c r="D7" s="20" t="s">
        <v>117</v>
      </c>
      <c r="E7" s="14" t="str">
        <f t="shared" si="0"/>
        <v>05.23.11 Проектирование и строительство дорог, метрополитенов, аэродромов, мостов и транспортных тоннелей</v>
      </c>
    </row>
    <row r="8" spans="1:5" ht="78.75" x14ac:dyDescent="0.25">
      <c r="A8" s="14" t="s">
        <v>103</v>
      </c>
      <c r="B8" s="14" t="s">
        <v>104</v>
      </c>
      <c r="C8" s="26" t="s">
        <v>141</v>
      </c>
      <c r="D8" s="20" t="s">
        <v>104</v>
      </c>
      <c r="E8" s="14" t="str">
        <f t="shared" si="0"/>
        <v>05.13.01 Системный анализ, управление и обработка информации</v>
      </c>
    </row>
    <row r="9" spans="1:5" ht="94.5" x14ac:dyDescent="0.25">
      <c r="A9" s="14" t="s">
        <v>118</v>
      </c>
      <c r="B9" s="15" t="s">
        <v>119</v>
      </c>
      <c r="C9" s="26" t="s">
        <v>148</v>
      </c>
      <c r="D9" s="20" t="s">
        <v>149</v>
      </c>
      <c r="E9" s="14" t="str">
        <f t="shared" si="0"/>
        <v>05.13.06 Автоматизация и управление технологическими процессами и производствами (по отраслям)</v>
      </c>
    </row>
    <row r="10" spans="1:5" ht="94.5" x14ac:dyDescent="0.25">
      <c r="A10" s="14" t="s">
        <v>120</v>
      </c>
      <c r="B10" s="14" t="s">
        <v>121</v>
      </c>
      <c r="C10" s="26" t="s">
        <v>161</v>
      </c>
      <c r="D10" s="20" t="s">
        <v>121</v>
      </c>
      <c r="E10" s="14" t="str">
        <f t="shared" si="0"/>
        <v>5.13.18 Математическое моделирование, численные методы и комплексы программ</v>
      </c>
    </row>
    <row r="11" spans="1:5" ht="47.25" x14ac:dyDescent="0.25">
      <c r="A11" s="14" t="s">
        <v>86</v>
      </c>
      <c r="B11" s="14" t="s">
        <v>87</v>
      </c>
      <c r="C11" s="26" t="s">
        <v>150</v>
      </c>
      <c r="D11" s="20" t="s">
        <v>87</v>
      </c>
      <c r="E11" s="14" t="str">
        <f t="shared" si="0"/>
        <v>05.25.05 Информационные системы и процессы</v>
      </c>
    </row>
    <row r="12" spans="1:5" ht="78.75" x14ac:dyDescent="0.25">
      <c r="A12" s="14" t="s">
        <v>122</v>
      </c>
      <c r="B12" s="15" t="s">
        <v>123</v>
      </c>
      <c r="C12" s="26" t="s">
        <v>146</v>
      </c>
      <c r="D12" s="20" t="s">
        <v>123</v>
      </c>
      <c r="E12" s="14" t="str">
        <f t="shared" si="0"/>
        <v>05.13.19 Методы и системы защиты информации, информационная безопасность</v>
      </c>
    </row>
    <row r="13" spans="1:5" ht="78.75" x14ac:dyDescent="0.25">
      <c r="A13" s="14" t="s">
        <v>124</v>
      </c>
      <c r="B13" s="14" t="s">
        <v>125</v>
      </c>
      <c r="C13" s="26" t="s">
        <v>151</v>
      </c>
      <c r="D13" s="20" t="s">
        <v>125</v>
      </c>
      <c r="E13" s="14" t="str">
        <f t="shared" si="0"/>
        <v>05.12.04 Радиотехника, в том числе системы и устройства телевидения</v>
      </c>
    </row>
    <row r="14" spans="1:5" ht="63" x14ac:dyDescent="0.25">
      <c r="A14" s="14" t="s">
        <v>126</v>
      </c>
      <c r="B14" s="14" t="s">
        <v>127</v>
      </c>
      <c r="C14" s="26" t="s">
        <v>152</v>
      </c>
      <c r="D14" s="20" t="s">
        <v>127</v>
      </c>
      <c r="E14" s="14" t="str">
        <f t="shared" si="0"/>
        <v>05.12.13 Системы, сети и устройства телекоммуникаций</v>
      </c>
    </row>
    <row r="15" spans="1:5" ht="37.5" x14ac:dyDescent="0.25">
      <c r="A15" s="14" t="s">
        <v>128</v>
      </c>
      <c r="B15" s="14" t="s">
        <v>129</v>
      </c>
      <c r="C15" s="26" t="s">
        <v>153</v>
      </c>
      <c r="D15" s="20" t="s">
        <v>129</v>
      </c>
      <c r="E15" s="14" t="str">
        <f t="shared" si="0"/>
        <v>05.12.14 Радиолокация и радионавигация</v>
      </c>
    </row>
    <row r="16" spans="1:5" ht="94.5" x14ac:dyDescent="0.25">
      <c r="A16" s="14" t="s">
        <v>88</v>
      </c>
      <c r="B16" s="15" t="s">
        <v>130</v>
      </c>
      <c r="C16" s="26" t="s">
        <v>162</v>
      </c>
      <c r="D16" s="20" t="s">
        <v>2</v>
      </c>
      <c r="E16" s="14" t="str">
        <f t="shared" si="0"/>
        <v>05.11.13 Приборы и методы контроля природной среды, веществ, материалов и изделий</v>
      </c>
    </row>
    <row r="17" spans="1:5" ht="78.75" x14ac:dyDescent="0.25">
      <c r="A17" s="14" t="s">
        <v>89</v>
      </c>
      <c r="B17" s="14" t="s">
        <v>131</v>
      </c>
      <c r="C17" s="26" t="s">
        <v>163</v>
      </c>
      <c r="D17" s="20" t="s">
        <v>90</v>
      </c>
      <c r="E17" s="14" t="str">
        <f t="shared" si="0"/>
        <v>05.11.17 Приборы, системы и изделия медицинского назначения</v>
      </c>
    </row>
    <row r="18" spans="1:5" ht="78.75" x14ac:dyDescent="0.25">
      <c r="A18" s="14" t="s">
        <v>91</v>
      </c>
      <c r="B18" s="14" t="s">
        <v>11</v>
      </c>
      <c r="C18" s="26" t="s">
        <v>164</v>
      </c>
      <c r="D18" s="20" t="s">
        <v>165</v>
      </c>
      <c r="E18" s="14" t="str">
        <f t="shared" si="0"/>
        <v>05.11.16 Информационноизмерительные и управляющие системы (по отраслям)</v>
      </c>
    </row>
    <row r="19" spans="1:5" ht="47.25" x14ac:dyDescent="0.25">
      <c r="A19" s="14" t="s">
        <v>132</v>
      </c>
      <c r="B19" s="14" t="s">
        <v>133</v>
      </c>
      <c r="C19" s="26" t="s">
        <v>166</v>
      </c>
      <c r="D19" s="20" t="s">
        <v>133</v>
      </c>
      <c r="E19" s="14" t="str">
        <f t="shared" si="0"/>
        <v>05.09.03 Электротехнические комплексы и системы</v>
      </c>
    </row>
    <row r="20" spans="1:5" ht="63" x14ac:dyDescent="0.25">
      <c r="A20" s="14" t="s">
        <v>92</v>
      </c>
      <c r="B20" s="14" t="s">
        <v>93</v>
      </c>
      <c r="C20" s="26" t="s">
        <v>167</v>
      </c>
      <c r="D20" s="20" t="s">
        <v>147</v>
      </c>
      <c r="E20" s="14" t="str">
        <f t="shared" si="0"/>
        <v>05.02.13 Машины, агрегаты и процессы (по отраслям)</v>
      </c>
    </row>
    <row r="21" spans="1:5" ht="78.75" x14ac:dyDescent="0.25">
      <c r="A21" s="14" t="s">
        <v>134</v>
      </c>
      <c r="B21" s="14" t="s">
        <v>135</v>
      </c>
      <c r="C21" s="26" t="s">
        <v>168</v>
      </c>
      <c r="D21" s="20" t="s">
        <v>135</v>
      </c>
      <c r="E21" s="14" t="str">
        <f t="shared" si="0"/>
        <v>05.17.03 Технология электрохимических процессов и защита от коррозии</v>
      </c>
    </row>
    <row r="22" spans="1:5" ht="63" x14ac:dyDescent="0.25">
      <c r="A22" s="14" t="s">
        <v>94</v>
      </c>
      <c r="B22" s="15" t="s">
        <v>136</v>
      </c>
      <c r="C22" s="26" t="s">
        <v>169</v>
      </c>
      <c r="D22" s="20" t="s">
        <v>95</v>
      </c>
      <c r="E22" s="14" t="str">
        <f t="shared" si="0"/>
        <v>05.17.08 Процессы и аппараты химических технологий</v>
      </c>
    </row>
    <row r="23" spans="1:5" ht="94.5" x14ac:dyDescent="0.25">
      <c r="A23" s="14" t="s">
        <v>96</v>
      </c>
      <c r="B23" s="14" t="s">
        <v>97</v>
      </c>
      <c r="C23" s="26" t="s">
        <v>148</v>
      </c>
      <c r="D23" s="20" t="s">
        <v>149</v>
      </c>
      <c r="E23" s="14" t="str">
        <f t="shared" si="0"/>
        <v>05.13.06 Автоматизация и управление технологическими процессами и производствами (по отраслям)</v>
      </c>
    </row>
    <row r="24" spans="1:5" ht="78.75" x14ac:dyDescent="0.25">
      <c r="A24" s="14" t="s">
        <v>137</v>
      </c>
      <c r="B24" s="14" t="s">
        <v>11</v>
      </c>
      <c r="C24" s="26" t="s">
        <v>164</v>
      </c>
      <c r="D24" s="20" t="s">
        <v>165</v>
      </c>
      <c r="E24" s="14" t="str">
        <f t="shared" si="0"/>
        <v>05.11.16 Информационноизмерительные и управляющие системы (по отраслям)</v>
      </c>
    </row>
    <row r="25" spans="1:5" ht="47.25" x14ac:dyDescent="0.25">
      <c r="A25" s="14" t="s">
        <v>98</v>
      </c>
      <c r="B25" s="14" t="s">
        <v>53</v>
      </c>
      <c r="C25" s="26" t="s">
        <v>170</v>
      </c>
      <c r="D25" s="20" t="s">
        <v>171</v>
      </c>
      <c r="E25" s="14" t="str">
        <f t="shared" si="0"/>
        <v>05.16.08 Нанотехнологии и наноматериалы (по отраслям)</v>
      </c>
    </row>
    <row r="26" spans="1:5" ht="78.75" x14ac:dyDescent="0.25">
      <c r="A26" s="14" t="s">
        <v>138</v>
      </c>
      <c r="B26" s="14" t="s">
        <v>139</v>
      </c>
      <c r="C26" s="26" t="s">
        <v>172</v>
      </c>
      <c r="D26" s="20" t="s">
        <v>139</v>
      </c>
      <c r="E26" s="14" t="str">
        <f t="shared" si="0"/>
        <v>05.20.01 Технологии и средства механизации сельского хозяйства</v>
      </c>
    </row>
    <row r="27" spans="1:5" ht="78.75" x14ac:dyDescent="0.25">
      <c r="A27" s="14" t="s">
        <v>107</v>
      </c>
      <c r="B27" s="15" t="s">
        <v>140</v>
      </c>
      <c r="C27" s="26" t="s">
        <v>142</v>
      </c>
      <c r="D27" s="20" t="s">
        <v>325</v>
      </c>
      <c r="E27" s="14" t="str">
        <f t="shared" si="0"/>
        <v>08.00.05 Экономика и управление народным хозяйством (по отраслям)</v>
      </c>
    </row>
    <row r="28" spans="1:5" ht="63" x14ac:dyDescent="0.25">
      <c r="A28" s="14" t="s">
        <v>108</v>
      </c>
      <c r="B28" s="14" t="s">
        <v>109</v>
      </c>
      <c r="C28" s="26" t="s">
        <v>143</v>
      </c>
      <c r="D28" s="20" t="s">
        <v>109</v>
      </c>
      <c r="E28" s="14" t="str">
        <f t="shared" si="0"/>
        <v>08.00.10 Финансы, денежное обращение и кредит</v>
      </c>
    </row>
    <row r="29" spans="1:5" ht="63" x14ac:dyDescent="0.25">
      <c r="A29" s="14" t="s">
        <v>105</v>
      </c>
      <c r="B29" s="14" t="s">
        <v>106</v>
      </c>
      <c r="C29" s="26" t="s">
        <v>144</v>
      </c>
      <c r="D29" s="20" t="s">
        <v>106</v>
      </c>
      <c r="E29" s="14" t="str">
        <f t="shared" si="0"/>
        <v>23.00.02 Политические институты, процессы и технологии</v>
      </c>
    </row>
    <row r="30" spans="1:5" x14ac:dyDescent="0.25">
      <c r="A30" s="14" t="s">
        <v>99</v>
      </c>
      <c r="B30" s="15" t="s">
        <v>100</v>
      </c>
      <c r="C30" s="26" t="s">
        <v>173</v>
      </c>
      <c r="D30" s="20" t="s">
        <v>100</v>
      </c>
      <c r="E30" s="14" t="str">
        <f t="shared" si="0"/>
        <v>10.02.19 Теория языка</v>
      </c>
    </row>
    <row r="31" spans="1:5" ht="31.5" x14ac:dyDescent="0.25">
      <c r="A31" s="14" t="s">
        <v>101</v>
      </c>
      <c r="B31" s="14" t="s">
        <v>102</v>
      </c>
      <c r="C31" s="26" t="s">
        <v>145</v>
      </c>
      <c r="D31" s="20" t="s">
        <v>102</v>
      </c>
      <c r="E31" s="14" t="str">
        <f t="shared" si="0"/>
        <v>07.00.02 Отечественная история</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dimension ref="A1:C32"/>
  <sheetViews>
    <sheetView workbookViewId="0">
      <selection activeCell="I13" sqref="I13"/>
    </sheetView>
  </sheetViews>
  <sheetFormatPr defaultRowHeight="15" x14ac:dyDescent="0.25"/>
  <cols>
    <col min="1" max="3" width="9.140625" style="35"/>
  </cols>
  <sheetData>
    <row r="1" spans="1:3" x14ac:dyDescent="0.25">
      <c r="A1" s="35" t="s">
        <v>18</v>
      </c>
      <c r="B1" s="35" t="s">
        <v>182</v>
      </c>
      <c r="C1" s="35" t="s">
        <v>183</v>
      </c>
    </row>
    <row r="2" spans="1:3" x14ac:dyDescent="0.25">
      <c r="A2" s="36" t="s">
        <v>184</v>
      </c>
      <c r="B2" s="35" t="s">
        <v>215</v>
      </c>
      <c r="C2" s="35">
        <v>12</v>
      </c>
    </row>
    <row r="3" spans="1:3" x14ac:dyDescent="0.25">
      <c r="A3" s="36" t="s">
        <v>185</v>
      </c>
      <c r="B3" s="35" t="s">
        <v>216</v>
      </c>
      <c r="C3" s="35">
        <v>13</v>
      </c>
    </row>
    <row r="4" spans="1:3" x14ac:dyDescent="0.25">
      <c r="A4" s="36" t="s">
        <v>186</v>
      </c>
      <c r="B4" s="35" t="s">
        <v>217</v>
      </c>
      <c r="C4" s="35">
        <v>14</v>
      </c>
    </row>
    <row r="5" spans="1:3" x14ac:dyDescent="0.25">
      <c r="A5" s="36" t="s">
        <v>187</v>
      </c>
      <c r="B5" s="35" t="s">
        <v>218</v>
      </c>
      <c r="C5" s="35">
        <v>15</v>
      </c>
    </row>
    <row r="6" spans="1:3" x14ac:dyDescent="0.25">
      <c r="A6" s="36" t="s">
        <v>188</v>
      </c>
      <c r="B6" s="35" t="s">
        <v>219</v>
      </c>
      <c r="C6" s="35">
        <v>16</v>
      </c>
    </row>
    <row r="7" spans="1:3" x14ac:dyDescent="0.25">
      <c r="A7" s="36" t="s">
        <v>189</v>
      </c>
      <c r="B7" s="35" t="s">
        <v>220</v>
      </c>
      <c r="C7" s="35">
        <v>17</v>
      </c>
    </row>
    <row r="8" spans="1:3" x14ac:dyDescent="0.25">
      <c r="A8" s="36" t="s">
        <v>190</v>
      </c>
      <c r="B8" s="35" t="s">
        <v>221</v>
      </c>
      <c r="C8" s="35">
        <v>18</v>
      </c>
    </row>
    <row r="9" spans="1:3" x14ac:dyDescent="0.25">
      <c r="A9" s="36" t="s">
        <v>191</v>
      </c>
      <c r="B9" s="35" t="s">
        <v>222</v>
      </c>
      <c r="C9" s="35">
        <v>19</v>
      </c>
    </row>
    <row r="10" spans="1:3" x14ac:dyDescent="0.25">
      <c r="A10" s="36" t="s">
        <v>192</v>
      </c>
      <c r="B10" s="35" t="s">
        <v>223</v>
      </c>
      <c r="C10" s="35">
        <v>20</v>
      </c>
    </row>
    <row r="11" spans="1:3" x14ac:dyDescent="0.25">
      <c r="A11" s="36" t="s">
        <v>193</v>
      </c>
      <c r="B11" s="35" t="s">
        <v>224</v>
      </c>
      <c r="C11" s="35">
        <v>21</v>
      </c>
    </row>
    <row r="12" spans="1:3" x14ac:dyDescent="0.25">
      <c r="A12" s="36" t="s">
        <v>194</v>
      </c>
      <c r="B12" s="35" t="s">
        <v>225</v>
      </c>
      <c r="C12" s="35">
        <v>22</v>
      </c>
    </row>
    <row r="13" spans="1:3" x14ac:dyDescent="0.25">
      <c r="A13" s="36" t="s">
        <v>195</v>
      </c>
      <c r="B13" s="35" t="s">
        <v>226</v>
      </c>
      <c r="C13" s="35">
        <v>23</v>
      </c>
    </row>
    <row r="14" spans="1:3" x14ac:dyDescent="0.25">
      <c r="A14" s="36" t="s">
        <v>196</v>
      </c>
    </row>
    <row r="15" spans="1:3" x14ac:dyDescent="0.25">
      <c r="A15" s="36" t="s">
        <v>197</v>
      </c>
    </row>
    <row r="16" spans="1:3" x14ac:dyDescent="0.25">
      <c r="A16" s="36" t="s">
        <v>198</v>
      </c>
    </row>
    <row r="17" spans="1:1" x14ac:dyDescent="0.25">
      <c r="A17" s="36" t="s">
        <v>199</v>
      </c>
    </row>
    <row r="18" spans="1:1" x14ac:dyDescent="0.25">
      <c r="A18" s="36" t="s">
        <v>200</v>
      </c>
    </row>
    <row r="19" spans="1:1" x14ac:dyDescent="0.25">
      <c r="A19" s="36" t="s">
        <v>201</v>
      </c>
    </row>
    <row r="20" spans="1:1" x14ac:dyDescent="0.25">
      <c r="A20" s="36" t="s">
        <v>202</v>
      </c>
    </row>
    <row r="21" spans="1:1" x14ac:dyDescent="0.25">
      <c r="A21" s="36" t="s">
        <v>203</v>
      </c>
    </row>
    <row r="22" spans="1:1" x14ac:dyDescent="0.25">
      <c r="A22" s="36" t="s">
        <v>204</v>
      </c>
    </row>
    <row r="23" spans="1:1" x14ac:dyDescent="0.25">
      <c r="A23" s="36" t="s">
        <v>205</v>
      </c>
    </row>
    <row r="24" spans="1:1" x14ac:dyDescent="0.25">
      <c r="A24" s="36" t="s">
        <v>206</v>
      </c>
    </row>
    <row r="25" spans="1:1" x14ac:dyDescent="0.25">
      <c r="A25" s="36" t="s">
        <v>207</v>
      </c>
    </row>
    <row r="26" spans="1:1" x14ac:dyDescent="0.25">
      <c r="A26" s="36" t="s">
        <v>208</v>
      </c>
    </row>
    <row r="27" spans="1:1" x14ac:dyDescent="0.25">
      <c r="A27" s="36" t="s">
        <v>209</v>
      </c>
    </row>
    <row r="28" spans="1:1" x14ac:dyDescent="0.25">
      <c r="A28" s="36" t="s">
        <v>210</v>
      </c>
    </row>
    <row r="29" spans="1:1" x14ac:dyDescent="0.25">
      <c r="A29" s="36" t="s">
        <v>211</v>
      </c>
    </row>
    <row r="30" spans="1:1" x14ac:dyDescent="0.25">
      <c r="A30" s="36" t="s">
        <v>212</v>
      </c>
    </row>
    <row r="31" spans="1:1" x14ac:dyDescent="0.25">
      <c r="A31" s="36" t="s">
        <v>213</v>
      </c>
    </row>
    <row r="32" spans="1:1" x14ac:dyDescent="0.25">
      <c r="A32" s="36" t="s">
        <v>214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dimension ref="A1:B12"/>
  <sheetViews>
    <sheetView workbookViewId="0">
      <selection activeCell="B2" sqref="B2"/>
    </sheetView>
  </sheetViews>
  <sheetFormatPr defaultColWidth="9.140625" defaultRowHeight="15" x14ac:dyDescent="0.25"/>
  <cols>
    <col min="1" max="2" width="80.7109375" style="47" customWidth="1"/>
    <col min="3" max="16384" width="9.140625" style="47"/>
  </cols>
  <sheetData>
    <row r="1" spans="1:2" s="50" customFormat="1" ht="18.75" x14ac:dyDescent="0.25">
      <c r="A1" s="16" t="s">
        <v>7</v>
      </c>
      <c r="B1" s="16" t="s">
        <v>8</v>
      </c>
    </row>
    <row r="2" spans="1:2" ht="37.5" x14ac:dyDescent="0.25">
      <c r="A2" s="14" t="s">
        <v>233</v>
      </c>
      <c r="B2" s="14" t="s">
        <v>273</v>
      </c>
    </row>
    <row r="3" spans="1:2" ht="37.5" x14ac:dyDescent="0.3">
      <c r="A3" s="51" t="s">
        <v>295</v>
      </c>
      <c r="B3" s="51" t="s">
        <v>230</v>
      </c>
    </row>
    <row r="4" spans="1:2" ht="37.5" x14ac:dyDescent="0.3">
      <c r="A4" s="51"/>
      <c r="B4" s="52" t="s">
        <v>229</v>
      </c>
    </row>
    <row r="5" spans="1:2" ht="56.25" x14ac:dyDescent="0.3">
      <c r="B5" s="51" t="s">
        <v>298</v>
      </c>
    </row>
    <row r="6" spans="1:2" ht="18.75" x14ac:dyDescent="0.3">
      <c r="B6" s="51"/>
    </row>
    <row r="7" spans="1:2" ht="75" x14ac:dyDescent="0.3">
      <c r="B7" s="51" t="s">
        <v>336</v>
      </c>
    </row>
    <row r="8" spans="1:2" ht="18.75" x14ac:dyDescent="0.3">
      <c r="B8" s="51"/>
    </row>
    <row r="9" spans="1:2" ht="18.75" x14ac:dyDescent="0.3">
      <c r="B9" s="51"/>
    </row>
    <row r="10" spans="1:2" ht="18.75" x14ac:dyDescent="0.3">
      <c r="B10" s="51"/>
    </row>
    <row r="11" spans="1:2" ht="18.75" x14ac:dyDescent="0.3">
      <c r="B11" s="51"/>
    </row>
    <row r="12" spans="1:2" ht="18.75" x14ac:dyDescent="0.3">
      <c r="B12" s="5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dimension ref="A1:B28"/>
  <sheetViews>
    <sheetView workbookViewId="0">
      <selection activeCell="B11" sqref="B11"/>
    </sheetView>
  </sheetViews>
  <sheetFormatPr defaultColWidth="9.140625" defaultRowHeight="15" x14ac:dyDescent="0.25"/>
  <cols>
    <col min="1" max="2" width="80.7109375" style="47" customWidth="1"/>
    <col min="3" max="16384" width="9.140625" style="47"/>
  </cols>
  <sheetData>
    <row r="1" spans="1:2" s="50" customFormat="1" ht="18.75" x14ac:dyDescent="0.25">
      <c r="A1" s="16" t="s">
        <v>7</v>
      </c>
      <c r="B1" s="16" t="s">
        <v>8</v>
      </c>
    </row>
    <row r="2" spans="1:2" s="50" customFormat="1" ht="56.25" x14ac:dyDescent="0.25">
      <c r="A2" s="14" t="s">
        <v>270</v>
      </c>
      <c r="B2" s="14" t="s">
        <v>274</v>
      </c>
    </row>
    <row r="3" spans="1:2" ht="56.25" x14ac:dyDescent="0.25">
      <c r="A3" s="80" t="s">
        <v>306</v>
      </c>
      <c r="B3" s="14" t="s">
        <v>275</v>
      </c>
    </row>
    <row r="4" spans="1:2" ht="37.5" x14ac:dyDescent="0.3">
      <c r="A4" s="14"/>
      <c r="B4" s="52" t="s">
        <v>234</v>
      </c>
    </row>
    <row r="5" spans="1:2" ht="37.5" x14ac:dyDescent="0.3">
      <c r="A5" s="14"/>
      <c r="B5" s="51" t="s">
        <v>238</v>
      </c>
    </row>
    <row r="6" spans="1:2" ht="38.85" customHeight="1" x14ac:dyDescent="0.3">
      <c r="B6" s="51" t="s">
        <v>276</v>
      </c>
    </row>
    <row r="7" spans="1:2" ht="37.5" x14ac:dyDescent="0.3">
      <c r="B7" s="51" t="s">
        <v>271</v>
      </c>
    </row>
    <row r="8" spans="1:2" ht="37.5" x14ac:dyDescent="0.3">
      <c r="B8" s="51" t="s">
        <v>272</v>
      </c>
    </row>
    <row r="9" spans="1:2" ht="37.5" x14ac:dyDescent="0.3">
      <c r="B9" s="51" t="s">
        <v>283</v>
      </c>
    </row>
    <row r="10" spans="1:2" ht="37.5" x14ac:dyDescent="0.3">
      <c r="B10" s="51" t="s">
        <v>279</v>
      </c>
    </row>
    <row r="11" spans="1:2" ht="56.25" x14ac:dyDescent="0.3">
      <c r="B11" s="51" t="s">
        <v>287</v>
      </c>
    </row>
    <row r="12" spans="1:2" ht="56.25" x14ac:dyDescent="0.3">
      <c r="B12" s="51" t="s">
        <v>288</v>
      </c>
    </row>
    <row r="13" spans="1:2" ht="37.5" x14ac:dyDescent="0.3">
      <c r="B13" s="51" t="s">
        <v>289</v>
      </c>
    </row>
    <row r="14" spans="1:2" ht="56.25" x14ac:dyDescent="0.3">
      <c r="B14" s="51" t="s">
        <v>299</v>
      </c>
    </row>
    <row r="15" spans="1:2" ht="56.25" x14ac:dyDescent="0.3">
      <c r="B15" s="51" t="s">
        <v>303</v>
      </c>
    </row>
    <row r="16" spans="1:2" ht="56.25" x14ac:dyDescent="0.3">
      <c r="B16" s="51" t="s">
        <v>304</v>
      </c>
    </row>
    <row r="17" spans="2:2" ht="56.25" x14ac:dyDescent="0.3">
      <c r="B17" s="51" t="s">
        <v>307</v>
      </c>
    </row>
    <row r="18" spans="2:2" ht="37.5" x14ac:dyDescent="0.3">
      <c r="B18" s="51" t="s">
        <v>308</v>
      </c>
    </row>
    <row r="19" spans="2:2" ht="37.5" x14ac:dyDescent="0.3">
      <c r="B19" s="51" t="s">
        <v>309</v>
      </c>
    </row>
    <row r="20" spans="2:2" ht="37.5" x14ac:dyDescent="0.3">
      <c r="B20" s="51" t="s">
        <v>310</v>
      </c>
    </row>
    <row r="21" spans="2:2" ht="37.5" x14ac:dyDescent="0.3">
      <c r="B21" s="51" t="s">
        <v>314</v>
      </c>
    </row>
    <row r="22" spans="2:2" ht="18.75" x14ac:dyDescent="0.3">
      <c r="B22" s="51"/>
    </row>
    <row r="23" spans="2:2" ht="18.75" x14ac:dyDescent="0.3">
      <c r="B23" s="51"/>
    </row>
    <row r="24" spans="2:2" ht="18.75" x14ac:dyDescent="0.3">
      <c r="B24" s="51"/>
    </row>
    <row r="25" spans="2:2" ht="18.75" x14ac:dyDescent="0.3">
      <c r="B25" s="51"/>
    </row>
    <row r="26" spans="2:2" ht="18.75" x14ac:dyDescent="0.3">
      <c r="B26" s="51"/>
    </row>
    <row r="27" spans="2:2" ht="18.75" x14ac:dyDescent="0.3">
      <c r="B27" s="51"/>
    </row>
    <row r="28" spans="2:2" ht="18.75" x14ac:dyDescent="0.3">
      <c r="B28" s="51"/>
    </row>
  </sheetData>
  <pageMargins left="0.7" right="0.7" top="0.75" bottom="0.75" header="0.3" footer="0.3"/>
  <pageSetup paperSize="9" orientation="portrait" horizont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19"/>
  <dimension ref="A1:B28"/>
  <sheetViews>
    <sheetView workbookViewId="0">
      <selection activeCell="E18" sqref="E18"/>
    </sheetView>
  </sheetViews>
  <sheetFormatPr defaultColWidth="9.140625" defaultRowHeight="15" x14ac:dyDescent="0.25"/>
  <cols>
    <col min="1" max="2" width="80.7109375" style="47" customWidth="1"/>
    <col min="3" max="16384" width="9.140625" style="47"/>
  </cols>
  <sheetData>
    <row r="1" spans="1:2" s="50" customFormat="1" ht="18.75" x14ac:dyDescent="0.25">
      <c r="A1" s="16" t="s">
        <v>7</v>
      </c>
      <c r="B1" s="16" t="s">
        <v>8</v>
      </c>
    </row>
    <row r="2" spans="1:2" s="50" customFormat="1" ht="56.25" x14ac:dyDescent="0.25">
      <c r="A2" s="14" t="s">
        <v>278</v>
      </c>
      <c r="B2" s="14" t="s">
        <v>277</v>
      </c>
    </row>
    <row r="3" spans="1:2" ht="37.5" x14ac:dyDescent="0.3">
      <c r="A3" s="14" t="s">
        <v>282</v>
      </c>
      <c r="B3" s="51" t="s">
        <v>238</v>
      </c>
    </row>
    <row r="4" spans="1:2" ht="56.25" x14ac:dyDescent="0.3">
      <c r="A4" s="51" t="s">
        <v>284</v>
      </c>
      <c r="B4" s="51" t="s">
        <v>280</v>
      </c>
    </row>
    <row r="5" spans="1:2" ht="37.5" x14ac:dyDescent="0.3">
      <c r="A5" s="51" t="s">
        <v>290</v>
      </c>
      <c r="B5" s="51" t="s">
        <v>281</v>
      </c>
    </row>
    <row r="6" spans="1:2" ht="37.5" x14ac:dyDescent="0.3">
      <c r="A6" s="51" t="s">
        <v>289</v>
      </c>
      <c r="B6" s="51" t="s">
        <v>283</v>
      </c>
    </row>
    <row r="7" spans="1:2" ht="75" x14ac:dyDescent="0.3">
      <c r="A7" s="51" t="s">
        <v>295</v>
      </c>
      <c r="B7" s="51" t="s">
        <v>286</v>
      </c>
    </row>
    <row r="8" spans="1:2" ht="37.5" x14ac:dyDescent="0.3">
      <c r="A8" s="51" t="s">
        <v>300</v>
      </c>
      <c r="B8" s="51" t="s">
        <v>285</v>
      </c>
    </row>
    <row r="9" spans="1:2" ht="56.25" x14ac:dyDescent="0.3">
      <c r="A9" s="51" t="s">
        <v>304</v>
      </c>
      <c r="B9" s="51" t="s">
        <v>292</v>
      </c>
    </row>
    <row r="10" spans="1:2" ht="37.5" x14ac:dyDescent="0.3">
      <c r="A10" s="51" t="s">
        <v>311</v>
      </c>
      <c r="B10" s="51" t="s">
        <v>291</v>
      </c>
    </row>
    <row r="11" spans="1:2" ht="75" x14ac:dyDescent="0.3">
      <c r="A11" s="51" t="s">
        <v>317</v>
      </c>
      <c r="B11" s="51" t="s">
        <v>293</v>
      </c>
    </row>
    <row r="12" spans="1:2" ht="37.5" x14ac:dyDescent="0.3">
      <c r="A12" s="51"/>
      <c r="B12" s="51" t="s">
        <v>294</v>
      </c>
    </row>
    <row r="13" spans="1:2" ht="75" x14ac:dyDescent="0.3">
      <c r="B13" s="51" t="s">
        <v>296</v>
      </c>
    </row>
    <row r="14" spans="1:2" ht="56.25" x14ac:dyDescent="0.3">
      <c r="B14" s="51" t="s">
        <v>297</v>
      </c>
    </row>
    <row r="15" spans="1:2" ht="56.25" x14ac:dyDescent="0.3">
      <c r="B15" s="51" t="s">
        <v>301</v>
      </c>
    </row>
    <row r="16" spans="1:2" ht="56.25" x14ac:dyDescent="0.3">
      <c r="B16" s="51" t="s">
        <v>302</v>
      </c>
    </row>
    <row r="17" spans="2:2" ht="56.25" x14ac:dyDescent="0.3">
      <c r="B17" s="51" t="s">
        <v>305</v>
      </c>
    </row>
    <row r="18" spans="2:2" ht="56.25" x14ac:dyDescent="0.3">
      <c r="B18" s="51" t="s">
        <v>312</v>
      </c>
    </row>
    <row r="19" spans="2:2" ht="37.5" x14ac:dyDescent="0.3">
      <c r="B19" s="51" t="s">
        <v>313</v>
      </c>
    </row>
    <row r="20" spans="2:2" ht="56.25" x14ac:dyDescent="0.3">
      <c r="B20" s="51" t="s">
        <v>315</v>
      </c>
    </row>
    <row r="21" spans="2:2" ht="37.5" x14ac:dyDescent="0.3">
      <c r="B21" s="51" t="s">
        <v>316</v>
      </c>
    </row>
    <row r="22" spans="2:2" ht="56.25" x14ac:dyDescent="0.3">
      <c r="B22" s="51" t="s">
        <v>318</v>
      </c>
    </row>
    <row r="23" spans="2:2" ht="37.5" x14ac:dyDescent="0.3">
      <c r="B23" s="51" t="s">
        <v>319</v>
      </c>
    </row>
    <row r="24" spans="2:2" ht="18.75" x14ac:dyDescent="0.3">
      <c r="B24" s="51"/>
    </row>
    <row r="25" spans="2:2" ht="18.75" x14ac:dyDescent="0.3">
      <c r="B25" s="51"/>
    </row>
    <row r="26" spans="2:2" ht="18.75" x14ac:dyDescent="0.3">
      <c r="B26" s="51"/>
    </row>
    <row r="27" spans="2:2" ht="18.75" x14ac:dyDescent="0.3">
      <c r="B27" s="51"/>
    </row>
    <row r="28" spans="2:2" ht="18.75" x14ac:dyDescent="0.3">
      <c r="B28" s="5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dimension ref="A1:K50"/>
  <sheetViews>
    <sheetView topLeftCell="A30" workbookViewId="0">
      <selection activeCell="A30" sqref="A1:XFD1048576"/>
    </sheetView>
  </sheetViews>
  <sheetFormatPr defaultRowHeight="15" x14ac:dyDescent="0.25"/>
  <cols>
    <col min="1" max="1" width="19.85546875" style="13" customWidth="1"/>
    <col min="2" max="2" width="17.7109375" style="13" customWidth="1"/>
    <col min="3" max="3" width="15.7109375" style="13" customWidth="1"/>
    <col min="4" max="4" width="40.42578125" style="13" customWidth="1"/>
    <col min="5" max="5" width="16.7109375" style="13" customWidth="1"/>
    <col min="6" max="6" width="40.42578125" style="13" customWidth="1"/>
    <col min="7" max="7" width="15.140625" style="13" customWidth="1"/>
    <col min="8" max="8" width="40.140625" style="13" customWidth="1"/>
    <col min="9" max="9" width="17" style="13" customWidth="1"/>
    <col min="10" max="10" width="19.85546875" style="13" customWidth="1"/>
    <col min="11" max="11" width="20.140625" style="13" customWidth="1"/>
    <col min="12" max="16384" width="9.140625" style="6"/>
  </cols>
  <sheetData>
    <row r="1" spans="1:11" ht="60" x14ac:dyDescent="0.25">
      <c r="A1" s="13" t="s">
        <v>366</v>
      </c>
      <c r="B1" s="13" t="s">
        <v>362</v>
      </c>
      <c r="C1" s="13" t="s">
        <v>78</v>
      </c>
      <c r="D1" s="13" t="s">
        <v>7</v>
      </c>
      <c r="E1" s="13" t="s">
        <v>76</v>
      </c>
      <c r="F1" s="13" t="s">
        <v>371</v>
      </c>
      <c r="G1" s="13" t="s">
        <v>76</v>
      </c>
      <c r="H1" s="13" t="s">
        <v>372</v>
      </c>
      <c r="I1" s="13" t="s">
        <v>76</v>
      </c>
      <c r="J1" s="13" t="s">
        <v>365</v>
      </c>
    </row>
    <row r="2" spans="1:11" ht="120" x14ac:dyDescent="0.25">
      <c r="A2" s="13" t="s">
        <v>696</v>
      </c>
      <c r="B2" s="13" t="s">
        <v>757</v>
      </c>
      <c r="C2" s="13" t="s">
        <v>799</v>
      </c>
      <c r="D2" s="13" t="s">
        <v>758</v>
      </c>
      <c r="E2" s="13" t="s">
        <v>759</v>
      </c>
      <c r="F2" s="13" t="s">
        <v>760</v>
      </c>
      <c r="G2" s="13" t="s">
        <v>761</v>
      </c>
      <c r="H2" s="13" t="s">
        <v>801</v>
      </c>
      <c r="I2" s="13" t="s">
        <v>795</v>
      </c>
      <c r="J2" s="13" t="s">
        <v>650</v>
      </c>
      <c r="K2" s="13" t="s">
        <v>731</v>
      </c>
    </row>
    <row r="3" spans="1:11" ht="75" x14ac:dyDescent="0.25">
      <c r="A3" s="13" t="s">
        <v>640</v>
      </c>
      <c r="D3" s="13" t="s">
        <v>758</v>
      </c>
      <c r="E3" s="13" t="s">
        <v>759</v>
      </c>
      <c r="F3" s="13" t="s">
        <v>760</v>
      </c>
      <c r="G3" s="13" t="s">
        <v>761</v>
      </c>
      <c r="H3" s="13" t="s">
        <v>283</v>
      </c>
      <c r="I3" s="13" t="s">
        <v>771</v>
      </c>
      <c r="J3" s="13" t="s">
        <v>651</v>
      </c>
      <c r="K3" s="13" t="s">
        <v>732</v>
      </c>
    </row>
    <row r="4" spans="1:11" ht="75" x14ac:dyDescent="0.25">
      <c r="A4" s="13" t="s">
        <v>697</v>
      </c>
      <c r="D4" s="13" t="s">
        <v>758</v>
      </c>
      <c r="E4" s="13" t="s">
        <v>759</v>
      </c>
      <c r="F4" s="13" t="s">
        <v>760</v>
      </c>
      <c r="G4" s="13" t="s">
        <v>761</v>
      </c>
      <c r="H4" s="13" t="s">
        <v>283</v>
      </c>
      <c r="I4" s="13" t="s">
        <v>771</v>
      </c>
      <c r="J4" s="13" t="s">
        <v>652</v>
      </c>
      <c r="K4" s="13" t="s">
        <v>732</v>
      </c>
    </row>
    <row r="5" spans="1:11" ht="75" x14ac:dyDescent="0.25">
      <c r="A5" s="13" t="s">
        <v>641</v>
      </c>
      <c r="D5" s="13" t="s">
        <v>758</v>
      </c>
      <c r="E5" s="13" t="s">
        <v>759</v>
      </c>
      <c r="F5" s="13" t="s">
        <v>760</v>
      </c>
      <c r="G5" s="13" t="s">
        <v>761</v>
      </c>
      <c r="H5" s="13" t="s">
        <v>283</v>
      </c>
      <c r="I5" s="13" t="s">
        <v>771</v>
      </c>
      <c r="J5" s="13" t="s">
        <v>653</v>
      </c>
      <c r="K5" s="13" t="s">
        <v>732</v>
      </c>
    </row>
    <row r="6" spans="1:11" ht="75" x14ac:dyDescent="0.25">
      <c r="A6" s="13" t="s">
        <v>698</v>
      </c>
      <c r="D6" s="13" t="s">
        <v>758</v>
      </c>
      <c r="E6" s="13" t="s">
        <v>759</v>
      </c>
      <c r="F6" s="13" t="s">
        <v>760</v>
      </c>
      <c r="G6" s="13" t="s">
        <v>761</v>
      </c>
      <c r="H6" s="13" t="s">
        <v>283</v>
      </c>
      <c r="I6" s="13" t="s">
        <v>771</v>
      </c>
      <c r="J6" s="13" t="s">
        <v>654</v>
      </c>
      <c r="K6" s="13" t="s">
        <v>733</v>
      </c>
    </row>
    <row r="7" spans="1:11" ht="75" x14ac:dyDescent="0.25">
      <c r="A7" s="13" t="s">
        <v>699</v>
      </c>
      <c r="D7" s="13" t="s">
        <v>758</v>
      </c>
      <c r="E7" s="13" t="s">
        <v>759</v>
      </c>
      <c r="F7" s="13" t="s">
        <v>760</v>
      </c>
      <c r="G7" s="13" t="s">
        <v>761</v>
      </c>
      <c r="H7" s="13" t="s">
        <v>283</v>
      </c>
      <c r="I7" s="13" t="s">
        <v>771</v>
      </c>
      <c r="J7" s="13" t="s">
        <v>655</v>
      </c>
      <c r="K7" s="13" t="s">
        <v>733</v>
      </c>
    </row>
    <row r="8" spans="1:11" ht="75" x14ac:dyDescent="0.25">
      <c r="A8" s="13" t="s">
        <v>813</v>
      </c>
      <c r="D8" s="13" t="s">
        <v>758</v>
      </c>
      <c r="E8" s="13" t="s">
        <v>759</v>
      </c>
      <c r="F8" s="13" t="s">
        <v>760</v>
      </c>
      <c r="G8" s="13" t="s">
        <v>761</v>
      </c>
      <c r="H8" s="13" t="s">
        <v>283</v>
      </c>
      <c r="I8" s="13" t="s">
        <v>771</v>
      </c>
      <c r="J8" s="13" t="s">
        <v>800</v>
      </c>
      <c r="K8" s="13" t="s">
        <v>733</v>
      </c>
    </row>
    <row r="9" spans="1:11" ht="135" x14ac:dyDescent="0.25">
      <c r="A9" s="13" t="s">
        <v>700</v>
      </c>
      <c r="D9" s="13" t="s">
        <v>758</v>
      </c>
      <c r="E9" s="13" t="s">
        <v>759</v>
      </c>
      <c r="F9" s="13" t="s">
        <v>760</v>
      </c>
      <c r="G9" s="13" t="s">
        <v>761</v>
      </c>
      <c r="H9" s="13" t="s">
        <v>283</v>
      </c>
      <c r="I9" s="13" t="s">
        <v>771</v>
      </c>
      <c r="J9" s="13" t="s">
        <v>656</v>
      </c>
      <c r="K9" s="13" t="s">
        <v>734</v>
      </c>
    </row>
    <row r="10" spans="1:11" ht="75" x14ac:dyDescent="0.25">
      <c r="A10" s="13" t="s">
        <v>642</v>
      </c>
      <c r="D10" s="13" t="s">
        <v>758</v>
      </c>
      <c r="E10" s="13" t="s">
        <v>759</v>
      </c>
      <c r="F10" s="13" t="s">
        <v>760</v>
      </c>
      <c r="G10" s="13" t="s">
        <v>761</v>
      </c>
      <c r="H10" s="13" t="s">
        <v>802</v>
      </c>
      <c r="I10" s="13" t="s">
        <v>803</v>
      </c>
      <c r="J10" s="13" t="s">
        <v>502</v>
      </c>
      <c r="K10" s="13" t="s">
        <v>735</v>
      </c>
    </row>
    <row r="11" spans="1:11" ht="75" x14ac:dyDescent="0.25">
      <c r="A11" s="13" t="s">
        <v>701</v>
      </c>
      <c r="D11" s="13" t="s">
        <v>758</v>
      </c>
      <c r="E11" s="13" t="s">
        <v>759</v>
      </c>
      <c r="F11" s="13" t="s">
        <v>760</v>
      </c>
      <c r="G11" s="13" t="s">
        <v>761</v>
      </c>
      <c r="H11" s="13" t="s">
        <v>802</v>
      </c>
      <c r="I11" s="13" t="s">
        <v>803</v>
      </c>
      <c r="J11" s="13" t="s">
        <v>657</v>
      </c>
      <c r="K11" s="13" t="s">
        <v>735</v>
      </c>
    </row>
    <row r="12" spans="1:11" ht="75" x14ac:dyDescent="0.25">
      <c r="A12" s="13" t="s">
        <v>702</v>
      </c>
      <c r="D12" s="13" t="s">
        <v>758</v>
      </c>
      <c r="E12" s="13" t="s">
        <v>759</v>
      </c>
      <c r="F12" s="13" t="s">
        <v>760</v>
      </c>
      <c r="G12" s="13" t="s">
        <v>761</v>
      </c>
      <c r="H12" s="13" t="s">
        <v>802</v>
      </c>
      <c r="I12" s="13" t="s">
        <v>803</v>
      </c>
      <c r="J12" s="13" t="s">
        <v>658</v>
      </c>
      <c r="K12" s="13" t="s">
        <v>735</v>
      </c>
    </row>
    <row r="13" spans="1:11" ht="75" x14ac:dyDescent="0.25">
      <c r="A13" s="13" t="s">
        <v>703</v>
      </c>
      <c r="D13" s="13" t="s">
        <v>758</v>
      </c>
      <c r="E13" s="13" t="s">
        <v>759</v>
      </c>
      <c r="F13" s="13" t="s">
        <v>760</v>
      </c>
      <c r="G13" s="13" t="s">
        <v>761</v>
      </c>
      <c r="H13" s="13" t="s">
        <v>802</v>
      </c>
      <c r="I13" s="13" t="s">
        <v>803</v>
      </c>
      <c r="J13" s="13" t="s">
        <v>659</v>
      </c>
      <c r="K13" s="13" t="s">
        <v>735</v>
      </c>
    </row>
    <row r="14" spans="1:11" ht="75" x14ac:dyDescent="0.25">
      <c r="A14" s="13" t="s">
        <v>814</v>
      </c>
      <c r="D14" s="13" t="s">
        <v>758</v>
      </c>
      <c r="E14" s="13" t="s">
        <v>759</v>
      </c>
      <c r="F14" s="13" t="s">
        <v>760</v>
      </c>
      <c r="G14" s="13" t="s">
        <v>761</v>
      </c>
      <c r="H14" s="13" t="s">
        <v>802</v>
      </c>
      <c r="I14" s="13" t="s">
        <v>803</v>
      </c>
      <c r="J14" s="13" t="s">
        <v>505</v>
      </c>
      <c r="K14" s="13" t="s">
        <v>735</v>
      </c>
    </row>
    <row r="15" spans="1:11" ht="105" x14ac:dyDescent="0.25">
      <c r="A15" s="13" t="s">
        <v>643</v>
      </c>
      <c r="D15" s="13" t="s">
        <v>758</v>
      </c>
      <c r="E15" s="13" t="s">
        <v>759</v>
      </c>
      <c r="F15" s="13" t="s">
        <v>760</v>
      </c>
      <c r="G15" s="13" t="s">
        <v>761</v>
      </c>
      <c r="H15" s="13" t="s">
        <v>802</v>
      </c>
      <c r="I15" s="13" t="s">
        <v>803</v>
      </c>
      <c r="J15" s="13" t="s">
        <v>660</v>
      </c>
      <c r="K15" s="13" t="s">
        <v>736</v>
      </c>
    </row>
    <row r="16" spans="1:11" ht="105" x14ac:dyDescent="0.25">
      <c r="A16" s="13" t="s">
        <v>815</v>
      </c>
      <c r="D16" s="13" t="s">
        <v>758</v>
      </c>
      <c r="E16" s="13" t="s">
        <v>759</v>
      </c>
      <c r="F16" s="13" t="s">
        <v>760</v>
      </c>
      <c r="G16" s="13" t="s">
        <v>761</v>
      </c>
      <c r="H16" s="13" t="s">
        <v>802</v>
      </c>
      <c r="I16" s="13" t="s">
        <v>803</v>
      </c>
      <c r="J16" s="13" t="s">
        <v>661</v>
      </c>
      <c r="K16" s="13" t="s">
        <v>736</v>
      </c>
    </row>
    <row r="17" spans="1:11" ht="75" x14ac:dyDescent="0.25">
      <c r="A17" s="13" t="s">
        <v>644</v>
      </c>
      <c r="D17" s="13" t="s">
        <v>758</v>
      </c>
      <c r="E17" s="13" t="s">
        <v>759</v>
      </c>
      <c r="F17" s="13" t="s">
        <v>760</v>
      </c>
      <c r="G17" s="13" t="s">
        <v>761</v>
      </c>
      <c r="H17" s="13" t="s">
        <v>802</v>
      </c>
      <c r="I17" s="13" t="s">
        <v>803</v>
      </c>
      <c r="J17" s="13" t="s">
        <v>662</v>
      </c>
      <c r="K17" s="13" t="s">
        <v>770</v>
      </c>
    </row>
    <row r="18" spans="1:11" ht="75" x14ac:dyDescent="0.25">
      <c r="A18" s="13" t="s">
        <v>645</v>
      </c>
      <c r="D18" s="13" t="s">
        <v>758</v>
      </c>
      <c r="E18" s="13" t="s">
        <v>759</v>
      </c>
      <c r="F18" s="13" t="s">
        <v>760</v>
      </c>
      <c r="G18" s="13" t="s">
        <v>761</v>
      </c>
      <c r="H18" s="13" t="s">
        <v>802</v>
      </c>
      <c r="I18" s="13" t="s">
        <v>803</v>
      </c>
      <c r="J18" s="13" t="s">
        <v>663</v>
      </c>
      <c r="K18" s="13" t="s">
        <v>770</v>
      </c>
    </row>
    <row r="19" spans="1:11" ht="90" x14ac:dyDescent="0.25">
      <c r="A19" s="13" t="s">
        <v>704</v>
      </c>
      <c r="C19" s="94"/>
      <c r="D19" s="13" t="s">
        <v>758</v>
      </c>
      <c r="E19" s="13" t="s">
        <v>759</v>
      </c>
      <c r="F19" s="13" t="s">
        <v>760</v>
      </c>
      <c r="G19" s="13" t="s">
        <v>761</v>
      </c>
      <c r="H19" s="13" t="s">
        <v>285</v>
      </c>
      <c r="I19" s="13" t="s">
        <v>804</v>
      </c>
      <c r="J19" s="13" t="s">
        <v>664</v>
      </c>
      <c r="K19" s="13" t="s">
        <v>739</v>
      </c>
    </row>
    <row r="20" spans="1:11" ht="90" x14ac:dyDescent="0.25">
      <c r="A20" s="13" t="s">
        <v>705</v>
      </c>
      <c r="C20" s="94"/>
      <c r="D20" s="13" t="s">
        <v>758</v>
      </c>
      <c r="E20" s="13" t="s">
        <v>759</v>
      </c>
      <c r="F20" s="13" t="s">
        <v>760</v>
      </c>
      <c r="G20" s="13" t="s">
        <v>761</v>
      </c>
      <c r="H20" s="13" t="s">
        <v>285</v>
      </c>
      <c r="I20" s="13" t="s">
        <v>804</v>
      </c>
      <c r="J20" s="13" t="s">
        <v>665</v>
      </c>
      <c r="K20" s="13" t="s">
        <v>739</v>
      </c>
    </row>
    <row r="21" spans="1:11" ht="90" x14ac:dyDescent="0.25">
      <c r="A21" s="13" t="s">
        <v>707</v>
      </c>
      <c r="D21" s="13" t="s">
        <v>758</v>
      </c>
      <c r="E21" s="13" t="s">
        <v>759</v>
      </c>
      <c r="F21" s="13" t="s">
        <v>760</v>
      </c>
      <c r="G21" s="13" t="s">
        <v>761</v>
      </c>
      <c r="H21" s="13" t="s">
        <v>805</v>
      </c>
      <c r="I21" s="13" t="s">
        <v>806</v>
      </c>
      <c r="J21" s="13" t="s">
        <v>667</v>
      </c>
      <c r="K21" s="13" t="s">
        <v>740</v>
      </c>
    </row>
    <row r="22" spans="1:11" ht="90" x14ac:dyDescent="0.25">
      <c r="A22" s="13" t="s">
        <v>708</v>
      </c>
      <c r="D22" s="13" t="s">
        <v>758</v>
      </c>
      <c r="E22" s="13" t="s">
        <v>759</v>
      </c>
      <c r="F22" s="13" t="s">
        <v>760</v>
      </c>
      <c r="G22" s="13" t="s">
        <v>761</v>
      </c>
      <c r="H22" s="13" t="s">
        <v>805</v>
      </c>
      <c r="I22" s="13" t="s">
        <v>806</v>
      </c>
      <c r="J22" s="13" t="s">
        <v>668</v>
      </c>
      <c r="K22" s="13" t="s">
        <v>740</v>
      </c>
    </row>
    <row r="23" spans="1:11" ht="75" x14ac:dyDescent="0.25">
      <c r="A23" s="13" t="s">
        <v>646</v>
      </c>
      <c r="D23" s="13" t="s">
        <v>758</v>
      </c>
      <c r="E23" s="13" t="s">
        <v>759</v>
      </c>
      <c r="F23" s="13" t="s">
        <v>760</v>
      </c>
      <c r="G23" s="13" t="s">
        <v>761</v>
      </c>
      <c r="H23" s="13" t="s">
        <v>805</v>
      </c>
      <c r="I23" s="13" t="s">
        <v>806</v>
      </c>
      <c r="J23" s="13" t="s">
        <v>669</v>
      </c>
      <c r="K23" s="13" t="s">
        <v>741</v>
      </c>
    </row>
    <row r="24" spans="1:11" ht="75" x14ac:dyDescent="0.25">
      <c r="A24" s="13" t="s">
        <v>706</v>
      </c>
      <c r="D24" s="13" t="s">
        <v>758</v>
      </c>
      <c r="E24" s="13" t="s">
        <v>759</v>
      </c>
      <c r="F24" s="13" t="s">
        <v>760</v>
      </c>
      <c r="G24" s="13" t="s">
        <v>761</v>
      </c>
      <c r="H24" s="13" t="s">
        <v>805</v>
      </c>
      <c r="I24" s="13" t="s">
        <v>806</v>
      </c>
      <c r="J24" s="13" t="s">
        <v>666</v>
      </c>
      <c r="K24" s="13" t="s">
        <v>741</v>
      </c>
    </row>
    <row r="25" spans="1:11" ht="105" x14ac:dyDescent="0.25">
      <c r="A25" s="13" t="s">
        <v>710</v>
      </c>
      <c r="D25" s="13" t="s">
        <v>758</v>
      </c>
      <c r="E25" s="13" t="s">
        <v>759</v>
      </c>
      <c r="F25" s="13" t="s">
        <v>760</v>
      </c>
      <c r="G25" s="13" t="s">
        <v>761</v>
      </c>
      <c r="H25" s="13" t="s">
        <v>234</v>
      </c>
      <c r="I25" s="13" t="s">
        <v>762</v>
      </c>
      <c r="J25" s="13" t="s">
        <v>671</v>
      </c>
      <c r="K25" s="13" t="s">
        <v>742</v>
      </c>
    </row>
    <row r="26" spans="1:11" ht="75" x14ac:dyDescent="0.25">
      <c r="A26" s="13" t="s">
        <v>711</v>
      </c>
      <c r="D26" s="13" t="s">
        <v>758</v>
      </c>
      <c r="E26" s="13" t="s">
        <v>759</v>
      </c>
      <c r="F26" s="13" t="s">
        <v>760</v>
      </c>
      <c r="G26" s="13" t="s">
        <v>761</v>
      </c>
      <c r="H26" s="13" t="s">
        <v>234</v>
      </c>
      <c r="I26" s="13" t="s">
        <v>762</v>
      </c>
      <c r="J26" s="13" t="s">
        <v>672</v>
      </c>
      <c r="K26" s="13" t="s">
        <v>743</v>
      </c>
    </row>
    <row r="27" spans="1:11" ht="75" x14ac:dyDescent="0.25">
      <c r="A27" s="13" t="s">
        <v>712</v>
      </c>
      <c r="D27" s="13" t="s">
        <v>758</v>
      </c>
      <c r="E27" s="13" t="s">
        <v>759</v>
      </c>
      <c r="F27" s="13" t="s">
        <v>760</v>
      </c>
      <c r="G27" s="13" t="s">
        <v>761</v>
      </c>
      <c r="H27" s="13" t="s">
        <v>234</v>
      </c>
      <c r="I27" s="13" t="s">
        <v>762</v>
      </c>
      <c r="J27" s="13" t="s">
        <v>673</v>
      </c>
      <c r="K27" s="13" t="s">
        <v>743</v>
      </c>
    </row>
    <row r="28" spans="1:11" ht="90" x14ac:dyDescent="0.25">
      <c r="A28" s="13" t="s">
        <v>713</v>
      </c>
      <c r="D28" s="13" t="s">
        <v>758</v>
      </c>
      <c r="E28" s="13" t="s">
        <v>759</v>
      </c>
      <c r="F28" s="13" t="s">
        <v>760</v>
      </c>
      <c r="G28" s="13" t="s">
        <v>761</v>
      </c>
      <c r="H28" s="13" t="s">
        <v>234</v>
      </c>
      <c r="I28" s="13" t="s">
        <v>762</v>
      </c>
      <c r="J28" s="13" t="s">
        <v>674</v>
      </c>
      <c r="K28" s="13" t="s">
        <v>738</v>
      </c>
    </row>
    <row r="29" spans="1:11" ht="90" x14ac:dyDescent="0.25">
      <c r="A29" s="13" t="s">
        <v>709</v>
      </c>
      <c r="D29" s="13" t="s">
        <v>758</v>
      </c>
      <c r="E29" s="13" t="s">
        <v>759</v>
      </c>
      <c r="F29" s="13" t="s">
        <v>760</v>
      </c>
      <c r="G29" s="13" t="s">
        <v>761</v>
      </c>
      <c r="H29" s="13" t="s">
        <v>234</v>
      </c>
      <c r="I29" s="13" t="s">
        <v>762</v>
      </c>
      <c r="J29" s="13" t="s">
        <v>670</v>
      </c>
      <c r="K29" s="13" t="s">
        <v>738</v>
      </c>
    </row>
    <row r="30" spans="1:11" ht="75" x14ac:dyDescent="0.25">
      <c r="A30" s="13" t="s">
        <v>714</v>
      </c>
      <c r="D30" s="13" t="s">
        <v>758</v>
      </c>
      <c r="E30" s="13" t="s">
        <v>759</v>
      </c>
      <c r="F30" s="13" t="s">
        <v>760</v>
      </c>
      <c r="G30" s="13" t="s">
        <v>761</v>
      </c>
      <c r="H30" s="13" t="s">
        <v>807</v>
      </c>
      <c r="I30" s="13" t="s">
        <v>789</v>
      </c>
      <c r="J30" s="13" t="s">
        <v>675</v>
      </c>
      <c r="K30" s="13" t="s">
        <v>744</v>
      </c>
    </row>
    <row r="31" spans="1:11" ht="75" x14ac:dyDescent="0.25">
      <c r="A31" s="13" t="s">
        <v>647</v>
      </c>
      <c r="D31" s="13" t="s">
        <v>758</v>
      </c>
      <c r="E31" s="13" t="s">
        <v>759</v>
      </c>
      <c r="F31" s="13" t="s">
        <v>760</v>
      </c>
      <c r="G31" s="13" t="s">
        <v>761</v>
      </c>
      <c r="H31" s="13" t="s">
        <v>808</v>
      </c>
      <c r="I31" s="13" t="s">
        <v>812</v>
      </c>
      <c r="J31" s="13" t="s">
        <v>676</v>
      </c>
      <c r="K31" s="13" t="s">
        <v>745</v>
      </c>
    </row>
    <row r="32" spans="1:11" ht="75" x14ac:dyDescent="0.25">
      <c r="A32" s="13" t="s">
        <v>715</v>
      </c>
      <c r="D32" s="13" t="s">
        <v>758</v>
      </c>
      <c r="E32" s="13" t="s">
        <v>759</v>
      </c>
      <c r="F32" s="13" t="s">
        <v>760</v>
      </c>
      <c r="G32" s="13" t="s">
        <v>761</v>
      </c>
      <c r="H32" s="13" t="s">
        <v>808</v>
      </c>
      <c r="I32" s="13" t="s">
        <v>812</v>
      </c>
      <c r="J32" s="13" t="s">
        <v>677</v>
      </c>
      <c r="K32" s="13" t="s">
        <v>745</v>
      </c>
    </row>
    <row r="33" spans="1:11" s="96" customFormat="1" ht="75" x14ac:dyDescent="0.25">
      <c r="A33" s="95" t="s">
        <v>816</v>
      </c>
      <c r="B33" s="95"/>
      <c r="C33" s="95"/>
      <c r="D33" s="95" t="s">
        <v>758</v>
      </c>
      <c r="E33" s="95" t="s">
        <v>759</v>
      </c>
      <c r="F33" s="95" t="s">
        <v>760</v>
      </c>
      <c r="G33" s="95" t="s">
        <v>761</v>
      </c>
      <c r="H33" s="95" t="s">
        <v>808</v>
      </c>
      <c r="I33" s="95" t="s">
        <v>812</v>
      </c>
      <c r="J33" s="95" t="s">
        <v>678</v>
      </c>
      <c r="K33" s="95" t="s">
        <v>745</v>
      </c>
    </row>
    <row r="34" spans="1:11" ht="75" x14ac:dyDescent="0.25">
      <c r="A34" s="13" t="s">
        <v>716</v>
      </c>
      <c r="D34" s="13" t="s">
        <v>758</v>
      </c>
      <c r="E34" s="13" t="s">
        <v>759</v>
      </c>
      <c r="F34" s="13" t="s">
        <v>760</v>
      </c>
      <c r="G34" s="13" t="s">
        <v>761</v>
      </c>
      <c r="H34" s="13" t="s">
        <v>808</v>
      </c>
      <c r="I34" s="13" t="s">
        <v>812</v>
      </c>
      <c r="J34" s="13" t="s">
        <v>679</v>
      </c>
      <c r="K34" s="13" t="s">
        <v>745</v>
      </c>
    </row>
    <row r="35" spans="1:11" ht="75" x14ac:dyDescent="0.25">
      <c r="A35" s="13" t="s">
        <v>717</v>
      </c>
      <c r="D35" s="13" t="s">
        <v>758</v>
      </c>
      <c r="E35" s="13" t="s">
        <v>759</v>
      </c>
      <c r="F35" s="13" t="s">
        <v>760</v>
      </c>
      <c r="G35" s="13" t="s">
        <v>761</v>
      </c>
      <c r="H35" s="13" t="s">
        <v>373</v>
      </c>
      <c r="I35" s="13" t="s">
        <v>766</v>
      </c>
      <c r="J35" s="13" t="s">
        <v>680</v>
      </c>
      <c r="K35" s="13" t="s">
        <v>746</v>
      </c>
    </row>
    <row r="36" spans="1:11" ht="75" x14ac:dyDescent="0.25">
      <c r="A36" s="13" t="s">
        <v>718</v>
      </c>
      <c r="D36" s="13" t="s">
        <v>758</v>
      </c>
      <c r="E36" s="13" t="s">
        <v>759</v>
      </c>
      <c r="F36" s="13" t="s">
        <v>760</v>
      </c>
      <c r="G36" s="13" t="s">
        <v>761</v>
      </c>
      <c r="H36" s="13" t="s">
        <v>373</v>
      </c>
      <c r="I36" s="13" t="s">
        <v>766</v>
      </c>
      <c r="J36" s="13" t="s">
        <v>681</v>
      </c>
      <c r="K36" s="13" t="s">
        <v>747</v>
      </c>
    </row>
    <row r="37" spans="1:11" ht="75" x14ac:dyDescent="0.25">
      <c r="A37" s="13" t="s">
        <v>719</v>
      </c>
      <c r="D37" s="13" t="s">
        <v>758</v>
      </c>
      <c r="E37" s="13" t="s">
        <v>759</v>
      </c>
      <c r="F37" s="13" t="s">
        <v>760</v>
      </c>
      <c r="G37" s="13" t="s">
        <v>761</v>
      </c>
      <c r="H37" s="13" t="s">
        <v>373</v>
      </c>
      <c r="I37" s="13" t="s">
        <v>766</v>
      </c>
      <c r="J37" s="13" t="s">
        <v>682</v>
      </c>
      <c r="K37" s="13" t="s">
        <v>747</v>
      </c>
    </row>
    <row r="38" spans="1:11" ht="75" x14ac:dyDescent="0.25">
      <c r="A38" s="13" t="s">
        <v>720</v>
      </c>
      <c r="D38" s="13" t="s">
        <v>758</v>
      </c>
      <c r="E38" s="13" t="s">
        <v>759</v>
      </c>
      <c r="F38" s="13" t="s">
        <v>760</v>
      </c>
      <c r="G38" s="13" t="s">
        <v>761</v>
      </c>
      <c r="H38" s="13" t="s">
        <v>373</v>
      </c>
      <c r="I38" s="13" t="s">
        <v>766</v>
      </c>
      <c r="J38" s="13" t="s">
        <v>683</v>
      </c>
      <c r="K38" s="13" t="s">
        <v>747</v>
      </c>
    </row>
    <row r="39" spans="1:11" ht="75" x14ac:dyDescent="0.25">
      <c r="A39" s="13" t="s">
        <v>721</v>
      </c>
      <c r="D39" s="13" t="s">
        <v>758</v>
      </c>
      <c r="E39" s="13" t="s">
        <v>759</v>
      </c>
      <c r="F39" s="13" t="s">
        <v>760</v>
      </c>
      <c r="G39" s="13" t="s">
        <v>761</v>
      </c>
      <c r="H39" s="13" t="s">
        <v>373</v>
      </c>
      <c r="I39" s="13" t="s">
        <v>766</v>
      </c>
      <c r="J39" s="13" t="s">
        <v>684</v>
      </c>
      <c r="K39" s="13" t="s">
        <v>747</v>
      </c>
    </row>
    <row r="40" spans="1:11" ht="75" x14ac:dyDescent="0.25">
      <c r="A40" s="13" t="s">
        <v>722</v>
      </c>
      <c r="D40" s="13" t="s">
        <v>758</v>
      </c>
      <c r="E40" s="13" t="s">
        <v>759</v>
      </c>
      <c r="F40" s="13" t="s">
        <v>760</v>
      </c>
      <c r="G40" s="13" t="s">
        <v>761</v>
      </c>
      <c r="H40" s="13" t="s">
        <v>373</v>
      </c>
      <c r="I40" s="13" t="s">
        <v>766</v>
      </c>
      <c r="J40" s="13" t="s">
        <v>685</v>
      </c>
      <c r="K40" s="13" t="s">
        <v>747</v>
      </c>
    </row>
    <row r="41" spans="1:11" ht="105" x14ac:dyDescent="0.25">
      <c r="A41" s="13" t="s">
        <v>648</v>
      </c>
      <c r="D41" s="13" t="s">
        <v>758</v>
      </c>
      <c r="E41" s="13" t="s">
        <v>759</v>
      </c>
      <c r="F41" s="13" t="s">
        <v>760</v>
      </c>
      <c r="G41" s="13" t="s">
        <v>761</v>
      </c>
      <c r="H41" s="13" t="s">
        <v>313</v>
      </c>
      <c r="I41" s="13" t="s">
        <v>763</v>
      </c>
      <c r="J41" s="13" t="s">
        <v>686</v>
      </c>
      <c r="K41" s="13" t="s">
        <v>736</v>
      </c>
    </row>
    <row r="42" spans="1:11" ht="105" x14ac:dyDescent="0.25">
      <c r="A42" s="13" t="s">
        <v>723</v>
      </c>
      <c r="D42" s="13" t="s">
        <v>758</v>
      </c>
      <c r="E42" s="13" t="s">
        <v>759</v>
      </c>
      <c r="F42" s="13" t="s">
        <v>760</v>
      </c>
      <c r="G42" s="13" t="s">
        <v>761</v>
      </c>
      <c r="H42" s="13" t="s">
        <v>313</v>
      </c>
      <c r="I42" s="13" t="s">
        <v>763</v>
      </c>
      <c r="J42" s="13" t="s">
        <v>687</v>
      </c>
      <c r="K42" s="13" t="s">
        <v>736</v>
      </c>
    </row>
    <row r="43" spans="1:11" ht="90" x14ac:dyDescent="0.25">
      <c r="A43" s="13" t="s">
        <v>724</v>
      </c>
      <c r="D43" s="13" t="s">
        <v>758</v>
      </c>
      <c r="E43" s="13" t="s">
        <v>759</v>
      </c>
      <c r="F43" s="13" t="s">
        <v>760</v>
      </c>
      <c r="G43" s="13" t="s">
        <v>761</v>
      </c>
      <c r="H43" s="13" t="s">
        <v>313</v>
      </c>
      <c r="I43" s="13" t="s">
        <v>763</v>
      </c>
      <c r="J43" s="13" t="s">
        <v>688</v>
      </c>
      <c r="K43" s="13" t="s">
        <v>738</v>
      </c>
    </row>
    <row r="44" spans="1:11" ht="75" x14ac:dyDescent="0.25">
      <c r="A44" s="13" t="s">
        <v>649</v>
      </c>
      <c r="D44" s="13" t="s">
        <v>758</v>
      </c>
      <c r="E44" s="13" t="s">
        <v>759</v>
      </c>
      <c r="F44" s="13" t="s">
        <v>760</v>
      </c>
      <c r="G44" s="13" t="s">
        <v>761</v>
      </c>
      <c r="H44" s="13" t="s">
        <v>764</v>
      </c>
      <c r="I44" s="13" t="s">
        <v>765</v>
      </c>
      <c r="J44" s="13" t="s">
        <v>689</v>
      </c>
      <c r="K44" s="13" t="s">
        <v>748</v>
      </c>
    </row>
    <row r="45" spans="1:11" ht="75" x14ac:dyDescent="0.25">
      <c r="A45" s="13" t="s">
        <v>725</v>
      </c>
      <c r="D45" s="13" t="s">
        <v>758</v>
      </c>
      <c r="E45" s="13" t="s">
        <v>759</v>
      </c>
      <c r="F45" s="13" t="s">
        <v>760</v>
      </c>
      <c r="G45" s="13" t="s">
        <v>761</v>
      </c>
      <c r="H45" s="13" t="s">
        <v>764</v>
      </c>
      <c r="I45" s="13" t="s">
        <v>765</v>
      </c>
      <c r="J45" s="13" t="s">
        <v>690</v>
      </c>
      <c r="K45" s="13" t="s">
        <v>748</v>
      </c>
    </row>
    <row r="46" spans="1:11" ht="75" x14ac:dyDescent="0.25">
      <c r="A46" s="13" t="s">
        <v>726</v>
      </c>
      <c r="D46" s="13" t="s">
        <v>758</v>
      </c>
      <c r="E46" s="13" t="s">
        <v>759</v>
      </c>
      <c r="F46" s="13" t="s">
        <v>760</v>
      </c>
      <c r="G46" s="13" t="s">
        <v>761</v>
      </c>
      <c r="H46" s="13" t="s">
        <v>764</v>
      </c>
      <c r="I46" s="13" t="s">
        <v>765</v>
      </c>
      <c r="J46" s="13" t="s">
        <v>691</v>
      </c>
      <c r="K46" s="13" t="s">
        <v>748</v>
      </c>
    </row>
    <row r="47" spans="1:11" ht="90" x14ac:dyDescent="0.25">
      <c r="A47" s="13" t="s">
        <v>727</v>
      </c>
      <c r="D47" s="13" t="s">
        <v>758</v>
      </c>
      <c r="E47" s="13" t="s">
        <v>759</v>
      </c>
      <c r="F47" s="13" t="s">
        <v>760</v>
      </c>
      <c r="G47" s="13" t="s">
        <v>761</v>
      </c>
      <c r="H47" s="13" t="s">
        <v>809</v>
      </c>
      <c r="I47" s="13" t="s">
        <v>785</v>
      </c>
      <c r="J47" s="13" t="s">
        <v>692</v>
      </c>
      <c r="K47" s="13" t="s">
        <v>749</v>
      </c>
    </row>
    <row r="48" spans="1:11" ht="90" x14ac:dyDescent="0.25">
      <c r="A48" s="13" t="s">
        <v>728</v>
      </c>
      <c r="D48" s="13" t="s">
        <v>758</v>
      </c>
      <c r="E48" s="13" t="s">
        <v>759</v>
      </c>
      <c r="F48" s="13" t="s">
        <v>760</v>
      </c>
      <c r="G48" s="13" t="s">
        <v>761</v>
      </c>
      <c r="H48" s="13" t="s">
        <v>809</v>
      </c>
      <c r="I48" s="13" t="s">
        <v>785</v>
      </c>
      <c r="J48" s="13" t="s">
        <v>693</v>
      </c>
      <c r="K48" s="13" t="s">
        <v>749</v>
      </c>
    </row>
    <row r="49" spans="1:11" ht="75" x14ac:dyDescent="0.25">
      <c r="A49" s="13" t="s">
        <v>729</v>
      </c>
      <c r="B49" s="6"/>
      <c r="C49" s="6"/>
      <c r="D49" s="13" t="s">
        <v>758</v>
      </c>
      <c r="E49" s="13" t="s">
        <v>759</v>
      </c>
      <c r="F49" s="13" t="s">
        <v>760</v>
      </c>
      <c r="G49" s="13" t="s">
        <v>761</v>
      </c>
      <c r="H49" s="13" t="s">
        <v>810</v>
      </c>
      <c r="I49" s="13" t="s">
        <v>811</v>
      </c>
      <c r="J49" s="13" t="s">
        <v>694</v>
      </c>
      <c r="K49" s="47" t="s">
        <v>751</v>
      </c>
    </row>
    <row r="50" spans="1:11" ht="75" x14ac:dyDescent="0.25">
      <c r="A50" s="13" t="s">
        <v>730</v>
      </c>
      <c r="B50" s="6"/>
      <c r="C50" s="6"/>
      <c r="D50" s="13" t="s">
        <v>758</v>
      </c>
      <c r="E50" s="13" t="s">
        <v>759</v>
      </c>
      <c r="F50" s="13" t="s">
        <v>760</v>
      </c>
      <c r="G50" s="13" t="s">
        <v>761</v>
      </c>
      <c r="H50" s="13" t="s">
        <v>229</v>
      </c>
      <c r="I50" s="13" t="s">
        <v>787</v>
      </c>
      <c r="J50" s="13" t="s">
        <v>695</v>
      </c>
      <c r="K50" s="47" t="s">
        <v>752</v>
      </c>
    </row>
  </sheetData>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dimension ref="A1:K74"/>
  <sheetViews>
    <sheetView workbookViewId="0">
      <selection activeCell="A50" sqref="A2:XFD50"/>
    </sheetView>
  </sheetViews>
  <sheetFormatPr defaultRowHeight="15" x14ac:dyDescent="0.25"/>
  <cols>
    <col min="1" max="1" width="19.85546875" style="13" customWidth="1"/>
    <col min="2" max="2" width="21.5703125" style="13" customWidth="1"/>
    <col min="3" max="3" width="21.7109375" style="13" customWidth="1"/>
    <col min="4" max="4" width="40.42578125" style="13" customWidth="1"/>
    <col min="5" max="5" width="12.85546875" style="13" customWidth="1"/>
    <col min="6" max="6" width="40.42578125" style="13" customWidth="1"/>
    <col min="7" max="7" width="12.85546875" style="13" customWidth="1"/>
    <col min="8" max="8" width="40.140625" style="13" customWidth="1"/>
    <col min="9" max="9" width="12.85546875" style="13" customWidth="1"/>
    <col min="10" max="10" width="19.85546875" style="13" customWidth="1"/>
    <col min="11" max="11" width="20.140625" style="6" customWidth="1"/>
    <col min="12" max="16384" width="9.140625" style="6"/>
  </cols>
  <sheetData>
    <row r="1" spans="1:11" ht="45.75" thickBot="1" x14ac:dyDescent="0.3">
      <c r="A1" s="13" t="s">
        <v>366</v>
      </c>
      <c r="B1" s="13" t="s">
        <v>362</v>
      </c>
      <c r="C1" s="13" t="s">
        <v>78</v>
      </c>
      <c r="D1" s="13" t="s">
        <v>7</v>
      </c>
      <c r="E1" s="13" t="s">
        <v>76</v>
      </c>
      <c r="F1" s="13" t="s">
        <v>371</v>
      </c>
      <c r="G1" s="13" t="s">
        <v>76</v>
      </c>
      <c r="H1" s="13" t="s">
        <v>372</v>
      </c>
      <c r="I1" s="13" t="s">
        <v>76</v>
      </c>
      <c r="J1" s="13" t="s">
        <v>365</v>
      </c>
    </row>
    <row r="2" spans="1:11" ht="75" x14ac:dyDescent="0.25">
      <c r="A2" s="87" t="s">
        <v>875</v>
      </c>
      <c r="B2" s="88" t="s">
        <v>81</v>
      </c>
      <c r="C2" s="88"/>
      <c r="D2" s="88" t="s">
        <v>820</v>
      </c>
      <c r="E2" s="88" t="s">
        <v>852</v>
      </c>
      <c r="F2" s="88" t="s">
        <v>821</v>
      </c>
      <c r="G2" s="88" t="s">
        <v>768</v>
      </c>
      <c r="H2" s="88" t="s">
        <v>822</v>
      </c>
      <c r="I2" s="88" t="s">
        <v>795</v>
      </c>
      <c r="J2" s="88" t="s">
        <v>442</v>
      </c>
      <c r="K2" s="100" t="s">
        <v>731</v>
      </c>
    </row>
    <row r="3" spans="1:11" ht="75.75" thickBot="1" x14ac:dyDescent="0.3">
      <c r="A3" s="102" t="s">
        <v>876</v>
      </c>
      <c r="B3" s="89" t="s">
        <v>81</v>
      </c>
      <c r="C3" s="89"/>
      <c r="D3" s="89" t="s">
        <v>820</v>
      </c>
      <c r="E3" s="89" t="s">
        <v>852</v>
      </c>
      <c r="F3" s="89" t="s">
        <v>821</v>
      </c>
      <c r="G3" s="89" t="s">
        <v>768</v>
      </c>
      <c r="H3" s="89" t="s">
        <v>822</v>
      </c>
      <c r="I3" s="89" t="s">
        <v>795</v>
      </c>
      <c r="J3" s="89" t="s">
        <v>443</v>
      </c>
      <c r="K3" s="103" t="s">
        <v>731</v>
      </c>
    </row>
    <row r="4" spans="1:11" ht="60" x14ac:dyDescent="0.25">
      <c r="A4" s="87" t="s">
        <v>877</v>
      </c>
      <c r="B4" s="88" t="s">
        <v>83</v>
      </c>
      <c r="C4" s="88"/>
      <c r="D4" s="88" t="s">
        <v>823</v>
      </c>
      <c r="E4" s="88" t="s">
        <v>771</v>
      </c>
      <c r="F4" s="88" t="s">
        <v>423</v>
      </c>
      <c r="G4" s="88" t="s">
        <v>853</v>
      </c>
      <c r="H4" s="88" t="s">
        <v>824</v>
      </c>
      <c r="I4" s="88" t="s">
        <v>854</v>
      </c>
      <c r="J4" s="88" t="s">
        <v>450</v>
      </c>
      <c r="K4" s="100" t="s">
        <v>732</v>
      </c>
    </row>
    <row r="5" spans="1:11" ht="60.75" thickBot="1" x14ac:dyDescent="0.3">
      <c r="A5" s="102" t="s">
        <v>878</v>
      </c>
      <c r="B5" s="89" t="s">
        <v>83</v>
      </c>
      <c r="C5" s="89"/>
      <c r="D5" s="89" t="s">
        <v>823</v>
      </c>
      <c r="E5" s="89" t="s">
        <v>771</v>
      </c>
      <c r="F5" s="89" t="s">
        <v>423</v>
      </c>
      <c r="G5" s="89" t="s">
        <v>853</v>
      </c>
      <c r="H5" s="89" t="s">
        <v>824</v>
      </c>
      <c r="I5" s="89" t="s">
        <v>854</v>
      </c>
      <c r="J5" s="89" t="s">
        <v>451</v>
      </c>
      <c r="K5" s="103" t="s">
        <v>732</v>
      </c>
    </row>
    <row r="6" spans="1:11" ht="60" x14ac:dyDescent="0.25">
      <c r="A6" s="87" t="s">
        <v>879</v>
      </c>
      <c r="B6" s="88" t="s">
        <v>85</v>
      </c>
      <c r="C6" s="88"/>
      <c r="D6" s="88" t="s">
        <v>282</v>
      </c>
      <c r="E6" s="88" t="s">
        <v>855</v>
      </c>
      <c r="F6" s="88" t="s">
        <v>825</v>
      </c>
      <c r="G6" s="88" t="s">
        <v>856</v>
      </c>
      <c r="H6" s="88" t="s">
        <v>826</v>
      </c>
      <c r="I6" s="88" t="s">
        <v>857</v>
      </c>
      <c r="J6" s="88" t="s">
        <v>458</v>
      </c>
      <c r="K6" s="100" t="s">
        <v>733</v>
      </c>
    </row>
    <row r="7" spans="1:11" ht="60.75" thickBot="1" x14ac:dyDescent="0.3">
      <c r="A7" s="102" t="s">
        <v>880</v>
      </c>
      <c r="B7" s="89" t="s">
        <v>85</v>
      </c>
      <c r="C7" s="89"/>
      <c r="D7" s="89" t="s">
        <v>282</v>
      </c>
      <c r="E7" s="89" t="s">
        <v>855</v>
      </c>
      <c r="F7" s="89" t="s">
        <v>825</v>
      </c>
      <c r="G7" s="89" t="s">
        <v>856</v>
      </c>
      <c r="H7" s="89" t="s">
        <v>826</v>
      </c>
      <c r="I7" s="89" t="s">
        <v>857</v>
      </c>
      <c r="J7" s="89" t="s">
        <v>459</v>
      </c>
      <c r="K7" s="103" t="s">
        <v>733</v>
      </c>
    </row>
    <row r="8" spans="1:11" ht="75" x14ac:dyDescent="0.25">
      <c r="A8" s="87" t="s">
        <v>881</v>
      </c>
      <c r="B8" s="88" t="s">
        <v>104</v>
      </c>
      <c r="C8" s="88"/>
      <c r="D8" s="88" t="s">
        <v>772</v>
      </c>
      <c r="E8" s="88" t="s">
        <v>773</v>
      </c>
      <c r="F8" s="88" t="s">
        <v>827</v>
      </c>
      <c r="G8" s="88" t="s">
        <v>774</v>
      </c>
      <c r="H8" s="88" t="s">
        <v>419</v>
      </c>
      <c r="I8" s="88" t="s">
        <v>775</v>
      </c>
      <c r="J8" s="88" t="s">
        <v>474</v>
      </c>
      <c r="K8" s="100" t="s">
        <v>735</v>
      </c>
    </row>
    <row r="9" spans="1:11" ht="75" x14ac:dyDescent="0.25">
      <c r="A9" s="90" t="s">
        <v>882</v>
      </c>
      <c r="B9" s="13" t="s">
        <v>104</v>
      </c>
      <c r="D9" s="13" t="s">
        <v>772</v>
      </c>
      <c r="E9" s="13" t="s">
        <v>773</v>
      </c>
      <c r="F9" s="13" t="s">
        <v>827</v>
      </c>
      <c r="G9" s="13" t="s">
        <v>774</v>
      </c>
      <c r="H9" s="13" t="s">
        <v>419</v>
      </c>
      <c r="I9" s="13" t="s">
        <v>775</v>
      </c>
      <c r="J9" s="13" t="s">
        <v>817</v>
      </c>
      <c r="K9" s="101" t="s">
        <v>735</v>
      </c>
    </row>
    <row r="10" spans="1:11" ht="75" x14ac:dyDescent="0.25">
      <c r="A10" s="90" t="s">
        <v>883</v>
      </c>
      <c r="B10" s="13" t="s">
        <v>104</v>
      </c>
      <c r="D10" s="13" t="s">
        <v>772</v>
      </c>
      <c r="E10" s="13" t="s">
        <v>773</v>
      </c>
      <c r="F10" s="13" t="s">
        <v>827</v>
      </c>
      <c r="G10" s="13" t="s">
        <v>774</v>
      </c>
      <c r="H10" s="13" t="s">
        <v>419</v>
      </c>
      <c r="I10" s="13" t="s">
        <v>775</v>
      </c>
      <c r="J10" s="13" t="s">
        <v>476</v>
      </c>
      <c r="K10" s="101" t="s">
        <v>735</v>
      </c>
    </row>
    <row r="11" spans="1:11" s="98" customFormat="1" ht="75.75" thickBot="1" x14ac:dyDescent="0.3">
      <c r="A11" s="104" t="s">
        <v>884</v>
      </c>
      <c r="B11" s="89" t="s">
        <v>104</v>
      </c>
      <c r="C11" s="105"/>
      <c r="D11" s="89" t="s">
        <v>772</v>
      </c>
      <c r="E11" s="89" t="s">
        <v>773</v>
      </c>
      <c r="F11" s="89" t="s">
        <v>827</v>
      </c>
      <c r="G11" s="89" t="s">
        <v>774</v>
      </c>
      <c r="H11" s="89" t="s">
        <v>419</v>
      </c>
      <c r="I11" s="89" t="s">
        <v>775</v>
      </c>
      <c r="J11" s="105" t="s">
        <v>489</v>
      </c>
      <c r="K11" s="106" t="s">
        <v>735</v>
      </c>
    </row>
    <row r="12" spans="1:11" ht="105" x14ac:dyDescent="0.25">
      <c r="A12" s="87" t="s">
        <v>885</v>
      </c>
      <c r="B12" s="88" t="s">
        <v>119</v>
      </c>
      <c r="C12" s="88"/>
      <c r="D12" s="88" t="s">
        <v>828</v>
      </c>
      <c r="E12" s="88" t="s">
        <v>776</v>
      </c>
      <c r="F12" s="88" t="s">
        <v>780</v>
      </c>
      <c r="G12" s="88" t="s">
        <v>777</v>
      </c>
      <c r="H12" s="88" t="s">
        <v>313</v>
      </c>
      <c r="I12" s="88" t="s">
        <v>763</v>
      </c>
      <c r="J12" s="88" t="s">
        <v>482</v>
      </c>
      <c r="K12" s="100" t="s">
        <v>736</v>
      </c>
    </row>
    <row r="13" spans="1:11" ht="105" x14ac:dyDescent="0.25">
      <c r="A13" s="90" t="s">
        <v>886</v>
      </c>
      <c r="B13" s="13" t="s">
        <v>119</v>
      </c>
      <c r="D13" s="13" t="s">
        <v>828</v>
      </c>
      <c r="E13" s="13" t="s">
        <v>776</v>
      </c>
      <c r="F13" s="13" t="s">
        <v>780</v>
      </c>
      <c r="G13" s="13" t="s">
        <v>777</v>
      </c>
      <c r="H13" s="13" t="s">
        <v>313</v>
      </c>
      <c r="I13" s="13" t="s">
        <v>763</v>
      </c>
      <c r="J13" s="13" t="s">
        <v>483</v>
      </c>
      <c r="K13" s="101" t="s">
        <v>736</v>
      </c>
    </row>
    <row r="14" spans="1:11" s="98" customFormat="1" ht="105" x14ac:dyDescent="0.25">
      <c r="A14" s="107" t="s">
        <v>887</v>
      </c>
      <c r="B14" s="13" t="s">
        <v>119</v>
      </c>
      <c r="C14" s="97"/>
      <c r="D14" s="13" t="s">
        <v>828</v>
      </c>
      <c r="E14" s="13" t="s">
        <v>776</v>
      </c>
      <c r="F14" s="13" t="s">
        <v>780</v>
      </c>
      <c r="G14" s="13" t="s">
        <v>777</v>
      </c>
      <c r="H14" s="13" t="s">
        <v>313</v>
      </c>
      <c r="I14" s="13" t="s">
        <v>763</v>
      </c>
      <c r="J14" s="97" t="s">
        <v>492</v>
      </c>
      <c r="K14" s="108" t="s">
        <v>736</v>
      </c>
    </row>
    <row r="15" spans="1:11" s="98" customFormat="1" ht="105" x14ac:dyDescent="0.25">
      <c r="A15" s="107" t="s">
        <v>754</v>
      </c>
      <c r="B15" s="13" t="s">
        <v>119</v>
      </c>
      <c r="C15" s="97"/>
      <c r="D15" s="13" t="s">
        <v>828</v>
      </c>
      <c r="E15" s="13" t="s">
        <v>776</v>
      </c>
      <c r="F15" s="13" t="s">
        <v>780</v>
      </c>
      <c r="G15" s="13" t="s">
        <v>777</v>
      </c>
      <c r="H15" s="13" t="s">
        <v>313</v>
      </c>
      <c r="I15" s="13" t="s">
        <v>763</v>
      </c>
      <c r="J15" s="97" t="s">
        <v>753</v>
      </c>
      <c r="K15" s="108" t="s">
        <v>736</v>
      </c>
    </row>
    <row r="16" spans="1:11" s="98" customFormat="1" ht="105.75" thickBot="1" x14ac:dyDescent="0.3">
      <c r="A16" s="104" t="s">
        <v>888</v>
      </c>
      <c r="B16" s="89" t="s">
        <v>119</v>
      </c>
      <c r="C16" s="105"/>
      <c r="D16" s="89" t="s">
        <v>828</v>
      </c>
      <c r="E16" s="89" t="s">
        <v>776</v>
      </c>
      <c r="F16" s="89" t="s">
        <v>780</v>
      </c>
      <c r="G16" s="89" t="s">
        <v>777</v>
      </c>
      <c r="H16" s="89" t="s">
        <v>313</v>
      </c>
      <c r="I16" s="89" t="s">
        <v>763</v>
      </c>
      <c r="J16" s="105" t="s">
        <v>581</v>
      </c>
      <c r="K16" s="106" t="s">
        <v>736</v>
      </c>
    </row>
    <row r="17" spans="1:11" ht="105" x14ac:dyDescent="0.25">
      <c r="A17" s="87" t="s">
        <v>889</v>
      </c>
      <c r="B17" s="88" t="s">
        <v>121</v>
      </c>
      <c r="C17" s="88"/>
      <c r="D17" s="88" t="s">
        <v>420</v>
      </c>
      <c r="E17" s="88" t="s">
        <v>858</v>
      </c>
      <c r="F17" s="88" t="s">
        <v>318</v>
      </c>
      <c r="G17" s="88" t="s">
        <v>859</v>
      </c>
      <c r="H17" s="88" t="s">
        <v>819</v>
      </c>
      <c r="I17" s="88" t="s">
        <v>784</v>
      </c>
      <c r="J17" s="88" t="s">
        <v>490</v>
      </c>
      <c r="K17" s="100" t="s">
        <v>737</v>
      </c>
    </row>
    <row r="18" spans="1:11" s="98" customFormat="1" ht="105.75" thickBot="1" x14ac:dyDescent="0.3">
      <c r="A18" s="104" t="s">
        <v>884</v>
      </c>
      <c r="B18" s="89" t="s">
        <v>121</v>
      </c>
      <c r="C18" s="105"/>
      <c r="D18" s="89" t="s">
        <v>420</v>
      </c>
      <c r="E18" s="89" t="s">
        <v>858</v>
      </c>
      <c r="F18" s="89" t="s">
        <v>318</v>
      </c>
      <c r="G18" s="89" t="s">
        <v>859</v>
      </c>
      <c r="H18" s="89" t="s">
        <v>819</v>
      </c>
      <c r="I18" s="89" t="s">
        <v>784</v>
      </c>
      <c r="J18" s="105" t="s">
        <v>489</v>
      </c>
      <c r="K18" s="106" t="s">
        <v>737</v>
      </c>
    </row>
    <row r="19" spans="1:11" ht="75" x14ac:dyDescent="0.25">
      <c r="A19" s="87" t="s">
        <v>890</v>
      </c>
      <c r="B19" s="88" t="s">
        <v>87</v>
      </c>
      <c r="C19" s="88"/>
      <c r="D19" s="88" t="s">
        <v>284</v>
      </c>
      <c r="E19" s="88" t="s">
        <v>796</v>
      </c>
      <c r="F19" s="88" t="s">
        <v>829</v>
      </c>
      <c r="G19" s="88" t="s">
        <v>773</v>
      </c>
      <c r="H19" s="88" t="s">
        <v>797</v>
      </c>
      <c r="I19" s="88" t="s">
        <v>798</v>
      </c>
      <c r="J19" s="88" t="s">
        <v>495</v>
      </c>
      <c r="K19" s="100" t="s">
        <v>770</v>
      </c>
    </row>
    <row r="20" spans="1:11" ht="75" x14ac:dyDescent="0.25">
      <c r="A20" s="90" t="s">
        <v>891</v>
      </c>
      <c r="B20" s="13" t="s">
        <v>87</v>
      </c>
      <c r="D20" s="13" t="s">
        <v>284</v>
      </c>
      <c r="E20" s="13" t="s">
        <v>796</v>
      </c>
      <c r="F20" s="13" t="s">
        <v>829</v>
      </c>
      <c r="G20" s="13" t="s">
        <v>773</v>
      </c>
      <c r="H20" s="13" t="s">
        <v>797</v>
      </c>
      <c r="I20" s="13" t="s">
        <v>798</v>
      </c>
      <c r="J20" s="13" t="s">
        <v>496</v>
      </c>
      <c r="K20" s="101" t="s">
        <v>770</v>
      </c>
    </row>
    <row r="21" spans="1:11" s="98" customFormat="1" ht="75.75" thickBot="1" x14ac:dyDescent="0.3">
      <c r="A21" s="104" t="s">
        <v>892</v>
      </c>
      <c r="B21" s="105" t="s">
        <v>87</v>
      </c>
      <c r="C21" s="105"/>
      <c r="D21" s="89" t="s">
        <v>284</v>
      </c>
      <c r="E21" s="89" t="s">
        <v>796</v>
      </c>
      <c r="F21" s="89" t="s">
        <v>829</v>
      </c>
      <c r="G21" s="89" t="s">
        <v>773</v>
      </c>
      <c r="H21" s="89" t="s">
        <v>797</v>
      </c>
      <c r="I21" s="89" t="s">
        <v>798</v>
      </c>
      <c r="J21" s="105" t="s">
        <v>528</v>
      </c>
      <c r="K21" s="106" t="s">
        <v>770</v>
      </c>
    </row>
    <row r="22" spans="1:11" ht="90.75" thickBot="1" x14ac:dyDescent="0.3">
      <c r="A22" s="85" t="s">
        <v>893</v>
      </c>
      <c r="B22" s="86" t="s">
        <v>125</v>
      </c>
      <c r="C22" s="86"/>
      <c r="D22" s="86" t="s">
        <v>831</v>
      </c>
      <c r="E22" s="86" t="s">
        <v>873</v>
      </c>
      <c r="F22" s="86" t="s">
        <v>832</v>
      </c>
      <c r="G22" s="86" t="s">
        <v>806</v>
      </c>
      <c r="H22" s="86" t="s">
        <v>833</v>
      </c>
      <c r="I22" s="86" t="s">
        <v>874</v>
      </c>
      <c r="J22" s="86" t="s">
        <v>509</v>
      </c>
      <c r="K22" s="99" t="s">
        <v>740</v>
      </c>
    </row>
    <row r="23" spans="1:11" ht="105" x14ac:dyDescent="0.25">
      <c r="A23" s="87" t="s">
        <v>894</v>
      </c>
      <c r="B23" s="88" t="s">
        <v>130</v>
      </c>
      <c r="C23" s="88"/>
      <c r="D23" s="88" t="s">
        <v>834</v>
      </c>
      <c r="E23" s="88" t="s">
        <v>792</v>
      </c>
      <c r="F23" s="88" t="s">
        <v>416</v>
      </c>
      <c r="G23" s="88" t="s">
        <v>793</v>
      </c>
      <c r="H23" s="88" t="s">
        <v>234</v>
      </c>
      <c r="I23" s="88" t="s">
        <v>762</v>
      </c>
      <c r="J23" s="88" t="s">
        <v>518</v>
      </c>
      <c r="K23" s="100" t="s">
        <v>742</v>
      </c>
    </row>
    <row r="24" spans="1:11" ht="105.75" thickBot="1" x14ac:dyDescent="0.3">
      <c r="A24" s="102" t="s">
        <v>895</v>
      </c>
      <c r="B24" s="89" t="s">
        <v>130</v>
      </c>
      <c r="C24" s="89"/>
      <c r="D24" s="89" t="s">
        <v>834</v>
      </c>
      <c r="E24" s="89" t="s">
        <v>792</v>
      </c>
      <c r="F24" s="89" t="s">
        <v>416</v>
      </c>
      <c r="G24" s="89" t="s">
        <v>793</v>
      </c>
      <c r="H24" s="89" t="s">
        <v>234</v>
      </c>
      <c r="I24" s="89" t="s">
        <v>762</v>
      </c>
      <c r="J24" s="89" t="s">
        <v>519</v>
      </c>
      <c r="K24" s="103" t="s">
        <v>742</v>
      </c>
    </row>
    <row r="25" spans="1:11" ht="75" x14ac:dyDescent="0.25">
      <c r="A25" s="87" t="s">
        <v>896</v>
      </c>
      <c r="B25" s="88" t="s">
        <v>131</v>
      </c>
      <c r="C25" s="88"/>
      <c r="D25" s="88" t="s">
        <v>835</v>
      </c>
      <c r="E25" s="88" t="s">
        <v>860</v>
      </c>
      <c r="F25" s="88" t="s">
        <v>417</v>
      </c>
      <c r="G25" s="88" t="s">
        <v>861</v>
      </c>
      <c r="H25" s="88" t="s">
        <v>418</v>
      </c>
      <c r="I25" s="88" t="s">
        <v>862</v>
      </c>
      <c r="J25" s="88" t="s">
        <v>527</v>
      </c>
      <c r="K25" s="100" t="s">
        <v>743</v>
      </c>
    </row>
    <row r="26" spans="1:11" ht="75.75" thickBot="1" x14ac:dyDescent="0.3">
      <c r="A26" s="102" t="s">
        <v>892</v>
      </c>
      <c r="B26" s="89" t="s">
        <v>131</v>
      </c>
      <c r="C26" s="89"/>
      <c r="D26" s="89" t="s">
        <v>835</v>
      </c>
      <c r="E26" s="89" t="s">
        <v>860</v>
      </c>
      <c r="F26" s="89" t="s">
        <v>417</v>
      </c>
      <c r="G26" s="89" t="s">
        <v>861</v>
      </c>
      <c r="H26" s="89" t="s">
        <v>418</v>
      </c>
      <c r="I26" s="89" t="s">
        <v>862</v>
      </c>
      <c r="J26" s="89" t="s">
        <v>528</v>
      </c>
      <c r="K26" s="103" t="s">
        <v>743</v>
      </c>
    </row>
    <row r="27" spans="1:11" ht="90" x14ac:dyDescent="0.25">
      <c r="A27" s="87" t="s">
        <v>897</v>
      </c>
      <c r="B27" s="88"/>
      <c r="C27" s="88"/>
      <c r="D27" s="88" t="s">
        <v>839</v>
      </c>
      <c r="E27" s="88" t="s">
        <v>863</v>
      </c>
      <c r="F27" s="88" t="s">
        <v>296</v>
      </c>
      <c r="G27" s="88" t="s">
        <v>864</v>
      </c>
      <c r="H27" s="88" t="s">
        <v>297</v>
      </c>
      <c r="I27" s="88" t="s">
        <v>865</v>
      </c>
      <c r="J27" s="88" t="s">
        <v>836</v>
      </c>
      <c r="K27" s="100" t="s">
        <v>738</v>
      </c>
    </row>
    <row r="28" spans="1:11" ht="90" x14ac:dyDescent="0.25">
      <c r="A28" s="90" t="s">
        <v>898</v>
      </c>
      <c r="D28" s="13" t="s">
        <v>839</v>
      </c>
      <c r="E28" s="13" t="s">
        <v>863</v>
      </c>
      <c r="F28" s="13" t="s">
        <v>296</v>
      </c>
      <c r="G28" s="13" t="s">
        <v>864</v>
      </c>
      <c r="H28" s="13" t="s">
        <v>297</v>
      </c>
      <c r="I28" s="13" t="s">
        <v>865</v>
      </c>
      <c r="J28" s="13" t="s">
        <v>837</v>
      </c>
      <c r="K28" s="101" t="s">
        <v>738</v>
      </c>
    </row>
    <row r="29" spans="1:11" ht="90.75" thickBot="1" x14ac:dyDescent="0.3">
      <c r="A29" s="102" t="s">
        <v>899</v>
      </c>
      <c r="B29" s="89"/>
      <c r="C29" s="89"/>
      <c r="D29" s="89" t="s">
        <v>839</v>
      </c>
      <c r="E29" s="89" t="s">
        <v>863</v>
      </c>
      <c r="F29" s="89" t="s">
        <v>296</v>
      </c>
      <c r="G29" s="89" t="s">
        <v>864</v>
      </c>
      <c r="H29" s="89" t="s">
        <v>297</v>
      </c>
      <c r="I29" s="89" t="s">
        <v>865</v>
      </c>
      <c r="J29" s="89" t="s">
        <v>838</v>
      </c>
      <c r="K29" s="103" t="s">
        <v>738</v>
      </c>
    </row>
    <row r="30" spans="1:11" ht="75.75" thickBot="1" x14ac:dyDescent="0.3">
      <c r="A30" s="85" t="s">
        <v>900</v>
      </c>
      <c r="B30" s="86" t="s">
        <v>133</v>
      </c>
      <c r="C30" s="86"/>
      <c r="D30" s="86" t="s">
        <v>778</v>
      </c>
      <c r="E30" s="86" t="s">
        <v>788</v>
      </c>
      <c r="F30" s="86" t="s">
        <v>779</v>
      </c>
      <c r="G30" s="86" t="s">
        <v>789</v>
      </c>
      <c r="H30" s="86" t="s">
        <v>830</v>
      </c>
      <c r="I30" s="86" t="s">
        <v>790</v>
      </c>
      <c r="J30" s="86" t="s">
        <v>537</v>
      </c>
      <c r="K30" s="99" t="s">
        <v>744</v>
      </c>
    </row>
    <row r="31" spans="1:11" ht="75" x14ac:dyDescent="0.25">
      <c r="A31" s="87" t="s">
        <v>901</v>
      </c>
      <c r="B31" s="88" t="s">
        <v>93</v>
      </c>
      <c r="C31" s="88"/>
      <c r="D31" s="88" t="s">
        <v>840</v>
      </c>
      <c r="E31" s="88" t="s">
        <v>781</v>
      </c>
      <c r="F31" s="88" t="s">
        <v>414</v>
      </c>
      <c r="G31" s="88" t="s">
        <v>866</v>
      </c>
      <c r="H31" s="88" t="s">
        <v>415</v>
      </c>
      <c r="I31" s="88" t="s">
        <v>867</v>
      </c>
      <c r="J31" s="88" t="s">
        <v>543</v>
      </c>
      <c r="K31" s="100" t="s">
        <v>745</v>
      </c>
    </row>
    <row r="32" spans="1:11" ht="75" x14ac:dyDescent="0.25">
      <c r="A32" s="90" t="s">
        <v>902</v>
      </c>
      <c r="B32" s="13" t="s">
        <v>93</v>
      </c>
      <c r="D32" s="13" t="s">
        <v>840</v>
      </c>
      <c r="E32" s="13" t="s">
        <v>781</v>
      </c>
      <c r="F32" s="13" t="s">
        <v>414</v>
      </c>
      <c r="G32" s="13" t="s">
        <v>866</v>
      </c>
      <c r="H32" s="13" t="s">
        <v>415</v>
      </c>
      <c r="I32" s="13" t="s">
        <v>867</v>
      </c>
      <c r="J32" s="13" t="s">
        <v>544</v>
      </c>
      <c r="K32" s="101" t="s">
        <v>745</v>
      </c>
    </row>
    <row r="33" spans="1:11" ht="75" x14ac:dyDescent="0.25">
      <c r="A33" s="90" t="s">
        <v>903</v>
      </c>
      <c r="B33" s="13" t="s">
        <v>93</v>
      </c>
      <c r="D33" s="13" t="s">
        <v>840</v>
      </c>
      <c r="E33" s="13" t="s">
        <v>781</v>
      </c>
      <c r="F33" s="13" t="s">
        <v>414</v>
      </c>
      <c r="G33" s="13" t="s">
        <v>866</v>
      </c>
      <c r="H33" s="13" t="s">
        <v>415</v>
      </c>
      <c r="I33" s="13" t="s">
        <v>867</v>
      </c>
      <c r="J33" s="13" t="s">
        <v>545</v>
      </c>
      <c r="K33" s="101" t="s">
        <v>745</v>
      </c>
    </row>
    <row r="34" spans="1:11" ht="75.75" thickBot="1" x14ac:dyDescent="0.3">
      <c r="A34" s="102" t="s">
        <v>904</v>
      </c>
      <c r="B34" s="89" t="s">
        <v>93</v>
      </c>
      <c r="C34" s="89"/>
      <c r="D34" s="89" t="s">
        <v>840</v>
      </c>
      <c r="E34" s="89" t="s">
        <v>781</v>
      </c>
      <c r="F34" s="89" t="s">
        <v>414</v>
      </c>
      <c r="G34" s="89" t="s">
        <v>866</v>
      </c>
      <c r="H34" s="89" t="s">
        <v>415</v>
      </c>
      <c r="I34" s="89" t="s">
        <v>867</v>
      </c>
      <c r="J34" s="89" t="s">
        <v>547</v>
      </c>
      <c r="K34" s="103" t="s">
        <v>745</v>
      </c>
    </row>
    <row r="35" spans="1:11" ht="90" x14ac:dyDescent="0.25">
      <c r="A35" s="87" t="s">
        <v>905</v>
      </c>
      <c r="B35" s="88" t="s">
        <v>135</v>
      </c>
      <c r="C35" s="88"/>
      <c r="D35" s="88" t="s">
        <v>842</v>
      </c>
      <c r="E35" s="88" t="s">
        <v>794</v>
      </c>
      <c r="F35" s="88" t="s">
        <v>421</v>
      </c>
      <c r="G35" s="88" t="s">
        <v>868</v>
      </c>
      <c r="H35" s="88" t="s">
        <v>801</v>
      </c>
      <c r="I35" s="88" t="s">
        <v>795</v>
      </c>
      <c r="J35" s="88" t="s">
        <v>557</v>
      </c>
      <c r="K35" s="100" t="s">
        <v>746</v>
      </c>
    </row>
    <row r="36" spans="1:11" ht="90" x14ac:dyDescent="0.25">
      <c r="A36" s="90" t="s">
        <v>906</v>
      </c>
      <c r="B36" s="13" t="s">
        <v>135</v>
      </c>
      <c r="D36" s="13" t="s">
        <v>842</v>
      </c>
      <c r="E36" s="13" t="s">
        <v>794</v>
      </c>
      <c r="F36" s="13" t="s">
        <v>421</v>
      </c>
      <c r="G36" s="13" t="s">
        <v>868</v>
      </c>
      <c r="H36" s="13" t="s">
        <v>801</v>
      </c>
      <c r="I36" s="13" t="s">
        <v>795</v>
      </c>
      <c r="J36" s="13" t="s">
        <v>558</v>
      </c>
      <c r="K36" s="101" t="s">
        <v>746</v>
      </c>
    </row>
    <row r="37" spans="1:11" ht="90.75" thickBot="1" x14ac:dyDescent="0.3">
      <c r="A37" s="102" t="s">
        <v>907</v>
      </c>
      <c r="B37" s="89" t="s">
        <v>135</v>
      </c>
      <c r="C37" s="89"/>
      <c r="D37" s="89" t="s">
        <v>842</v>
      </c>
      <c r="E37" s="89" t="s">
        <v>794</v>
      </c>
      <c r="F37" s="89" t="s">
        <v>421</v>
      </c>
      <c r="G37" s="89" t="s">
        <v>868</v>
      </c>
      <c r="H37" s="89" t="s">
        <v>801</v>
      </c>
      <c r="I37" s="89" t="s">
        <v>795</v>
      </c>
      <c r="J37" s="89" t="s">
        <v>559</v>
      </c>
      <c r="K37" s="103" t="s">
        <v>746</v>
      </c>
    </row>
    <row r="38" spans="1:11" ht="75" x14ac:dyDescent="0.25">
      <c r="A38" s="87" t="s">
        <v>908</v>
      </c>
      <c r="B38" s="88" t="s">
        <v>136</v>
      </c>
      <c r="C38" s="88"/>
      <c r="D38" s="88" t="s">
        <v>843</v>
      </c>
      <c r="E38" s="88" t="s">
        <v>791</v>
      </c>
      <c r="F38" s="88" t="s">
        <v>422</v>
      </c>
      <c r="G38" s="88" t="s">
        <v>784</v>
      </c>
      <c r="H38" s="88" t="s">
        <v>373</v>
      </c>
      <c r="I38" s="88" t="s">
        <v>766</v>
      </c>
      <c r="J38" s="88" t="s">
        <v>566</v>
      </c>
      <c r="K38" s="100" t="s">
        <v>747</v>
      </c>
    </row>
    <row r="39" spans="1:11" ht="75" x14ac:dyDescent="0.25">
      <c r="A39" s="90" t="s">
        <v>909</v>
      </c>
      <c r="B39" s="13" t="s">
        <v>136</v>
      </c>
      <c r="D39" s="13" t="s">
        <v>843</v>
      </c>
      <c r="E39" s="13" t="s">
        <v>791</v>
      </c>
      <c r="F39" s="13" t="s">
        <v>422</v>
      </c>
      <c r="G39" s="13" t="s">
        <v>784</v>
      </c>
      <c r="H39" s="13" t="s">
        <v>373</v>
      </c>
      <c r="I39" s="13" t="s">
        <v>766</v>
      </c>
      <c r="J39" s="13" t="s">
        <v>567</v>
      </c>
      <c r="K39" s="101" t="s">
        <v>747</v>
      </c>
    </row>
    <row r="40" spans="1:11" ht="75" x14ac:dyDescent="0.25">
      <c r="A40" s="90" t="s">
        <v>910</v>
      </c>
      <c r="B40" s="13" t="s">
        <v>136</v>
      </c>
      <c r="D40" s="13" t="s">
        <v>843</v>
      </c>
      <c r="E40" s="13" t="s">
        <v>791</v>
      </c>
      <c r="F40" s="13" t="s">
        <v>422</v>
      </c>
      <c r="G40" s="13" t="s">
        <v>784</v>
      </c>
      <c r="H40" s="13" t="s">
        <v>373</v>
      </c>
      <c r="I40" s="13" t="s">
        <v>766</v>
      </c>
      <c r="J40" s="13" t="s">
        <v>568</v>
      </c>
      <c r="K40" s="101" t="s">
        <v>747</v>
      </c>
    </row>
    <row r="41" spans="1:11" ht="75.75" thickBot="1" x14ac:dyDescent="0.3">
      <c r="A41" s="102" t="s">
        <v>767</v>
      </c>
      <c r="B41" s="89" t="s">
        <v>136</v>
      </c>
      <c r="C41" s="89"/>
      <c r="D41" s="89" t="s">
        <v>843</v>
      </c>
      <c r="E41" s="89" t="s">
        <v>791</v>
      </c>
      <c r="F41" s="89" t="s">
        <v>422</v>
      </c>
      <c r="G41" s="89" t="s">
        <v>784</v>
      </c>
      <c r="H41" s="89" t="s">
        <v>373</v>
      </c>
      <c r="I41" s="89" t="s">
        <v>766</v>
      </c>
      <c r="J41" s="89" t="s">
        <v>583</v>
      </c>
      <c r="K41" s="103" t="s">
        <v>747</v>
      </c>
    </row>
    <row r="42" spans="1:11" ht="60" x14ac:dyDescent="0.25">
      <c r="A42" s="87" t="s">
        <v>911</v>
      </c>
      <c r="B42" s="88" t="s">
        <v>53</v>
      </c>
      <c r="C42" s="88"/>
      <c r="D42" s="88" t="s">
        <v>840</v>
      </c>
      <c r="E42" s="88" t="s">
        <v>781</v>
      </c>
      <c r="F42" s="88" t="s">
        <v>841</v>
      </c>
      <c r="G42" s="88" t="s">
        <v>852</v>
      </c>
      <c r="H42" s="88" t="s">
        <v>782</v>
      </c>
      <c r="I42" s="88" t="s">
        <v>783</v>
      </c>
      <c r="J42" s="88" t="s">
        <v>589</v>
      </c>
      <c r="K42" s="100" t="s">
        <v>748</v>
      </c>
    </row>
    <row r="43" spans="1:11" ht="60" x14ac:dyDescent="0.25">
      <c r="A43" s="90" t="s">
        <v>912</v>
      </c>
      <c r="B43" s="13" t="s">
        <v>53</v>
      </c>
      <c r="D43" s="13" t="s">
        <v>840</v>
      </c>
      <c r="E43" s="13" t="s">
        <v>781</v>
      </c>
      <c r="F43" s="13" t="s">
        <v>841</v>
      </c>
      <c r="G43" s="13" t="s">
        <v>852</v>
      </c>
      <c r="H43" s="13" t="s">
        <v>782</v>
      </c>
      <c r="I43" s="13" t="s">
        <v>783</v>
      </c>
      <c r="J43" s="13" t="s">
        <v>590</v>
      </c>
      <c r="K43" s="101" t="s">
        <v>748</v>
      </c>
    </row>
    <row r="44" spans="1:11" ht="60" x14ac:dyDescent="0.25">
      <c r="A44" s="90" t="s">
        <v>913</v>
      </c>
      <c r="B44" s="13" t="s">
        <v>53</v>
      </c>
      <c r="D44" s="13" t="s">
        <v>840</v>
      </c>
      <c r="E44" s="13" t="s">
        <v>781</v>
      </c>
      <c r="F44" s="13" t="s">
        <v>841</v>
      </c>
      <c r="G44" s="13" t="s">
        <v>852</v>
      </c>
      <c r="H44" s="13" t="s">
        <v>782</v>
      </c>
      <c r="I44" s="13" t="s">
        <v>783</v>
      </c>
      <c r="J44" s="13" t="s">
        <v>591</v>
      </c>
      <c r="K44" s="101" t="s">
        <v>748</v>
      </c>
    </row>
    <row r="45" spans="1:11" ht="60" x14ac:dyDescent="0.25">
      <c r="A45" s="90" t="s">
        <v>755</v>
      </c>
      <c r="B45" s="13" t="s">
        <v>53</v>
      </c>
      <c r="D45" s="13" t="s">
        <v>840</v>
      </c>
      <c r="E45" s="13" t="s">
        <v>781</v>
      </c>
      <c r="F45" s="13" t="s">
        <v>841</v>
      </c>
      <c r="G45" s="13" t="s">
        <v>852</v>
      </c>
      <c r="H45" s="13" t="s">
        <v>782</v>
      </c>
      <c r="I45" s="13" t="s">
        <v>783</v>
      </c>
      <c r="J45" s="13" t="s">
        <v>445</v>
      </c>
      <c r="K45" s="101" t="s">
        <v>748</v>
      </c>
    </row>
    <row r="46" spans="1:11" ht="60.75" thickBot="1" x14ac:dyDescent="0.3">
      <c r="A46" s="102" t="s">
        <v>756</v>
      </c>
      <c r="B46" s="89" t="s">
        <v>53</v>
      </c>
      <c r="C46" s="89"/>
      <c r="D46" s="89" t="s">
        <v>840</v>
      </c>
      <c r="E46" s="89" t="s">
        <v>781</v>
      </c>
      <c r="F46" s="89" t="s">
        <v>841</v>
      </c>
      <c r="G46" s="89" t="s">
        <v>852</v>
      </c>
      <c r="H46" s="89" t="s">
        <v>782</v>
      </c>
      <c r="I46" s="89" t="s">
        <v>783</v>
      </c>
      <c r="J46" s="89" t="s">
        <v>522</v>
      </c>
      <c r="K46" s="103" t="s">
        <v>748</v>
      </c>
    </row>
    <row r="47" spans="1:11" ht="75.75" thickBot="1" x14ac:dyDescent="0.3">
      <c r="A47" s="85" t="s">
        <v>914</v>
      </c>
      <c r="B47" s="86" t="s">
        <v>140</v>
      </c>
      <c r="C47" s="86"/>
      <c r="D47" s="86" t="s">
        <v>844</v>
      </c>
      <c r="E47" s="86" t="s">
        <v>869</v>
      </c>
      <c r="F47" s="86" t="s">
        <v>845</v>
      </c>
      <c r="G47" s="86" t="s">
        <v>769</v>
      </c>
      <c r="H47" s="86" t="s">
        <v>846</v>
      </c>
      <c r="I47" s="86" t="s">
        <v>872</v>
      </c>
      <c r="J47" s="86" t="s">
        <v>609</v>
      </c>
      <c r="K47" s="99" t="s">
        <v>750</v>
      </c>
    </row>
    <row r="48" spans="1:11" ht="90.75" thickBot="1" x14ac:dyDescent="0.3">
      <c r="A48" s="85" t="s">
        <v>915</v>
      </c>
      <c r="B48" s="86" t="s">
        <v>109</v>
      </c>
      <c r="C48" s="86"/>
      <c r="D48" s="86" t="s">
        <v>847</v>
      </c>
      <c r="E48" s="86" t="s">
        <v>870</v>
      </c>
      <c r="F48" s="86" t="s">
        <v>845</v>
      </c>
      <c r="G48" s="86" t="s">
        <v>769</v>
      </c>
      <c r="H48" s="86" t="s">
        <v>848</v>
      </c>
      <c r="I48" s="86" t="s">
        <v>871</v>
      </c>
      <c r="J48" s="86" t="s">
        <v>618</v>
      </c>
      <c r="K48" s="99" t="s">
        <v>818</v>
      </c>
    </row>
    <row r="49" spans="1:11" ht="60.75" thickBot="1" x14ac:dyDescent="0.3">
      <c r="A49" s="85" t="s">
        <v>916</v>
      </c>
      <c r="B49" s="86" t="s">
        <v>102</v>
      </c>
      <c r="C49" s="86"/>
      <c r="D49" s="86" t="s">
        <v>849</v>
      </c>
      <c r="E49" s="86" t="s">
        <v>628</v>
      </c>
      <c r="F49" s="86" t="s">
        <v>850</v>
      </c>
      <c r="G49" s="86" t="s">
        <v>786</v>
      </c>
      <c r="H49" s="86" t="s">
        <v>851</v>
      </c>
      <c r="I49" s="86" t="s">
        <v>787</v>
      </c>
      <c r="J49" s="86" t="s">
        <v>627</v>
      </c>
      <c r="K49" s="99" t="s">
        <v>752</v>
      </c>
    </row>
    <row r="50" spans="1:11" x14ac:dyDescent="0.25">
      <c r="K50" s="13"/>
    </row>
    <row r="51" spans="1:11" x14ac:dyDescent="0.25">
      <c r="K51" s="13"/>
    </row>
    <row r="52" spans="1:11" x14ac:dyDescent="0.25">
      <c r="K52" s="13"/>
    </row>
    <row r="53" spans="1:11" x14ac:dyDescent="0.25">
      <c r="K53" s="13"/>
    </row>
    <row r="54" spans="1:11" x14ac:dyDescent="0.25">
      <c r="K54" s="13"/>
    </row>
    <row r="55" spans="1:11" x14ac:dyDescent="0.25">
      <c r="K55" s="13"/>
    </row>
    <row r="56" spans="1:11" x14ac:dyDescent="0.25">
      <c r="K56" s="13"/>
    </row>
    <row r="57" spans="1:11" x14ac:dyDescent="0.25">
      <c r="K57" s="13"/>
    </row>
    <row r="58" spans="1:11" x14ac:dyDescent="0.25">
      <c r="K58" s="13"/>
    </row>
    <row r="59" spans="1:11" x14ac:dyDescent="0.25">
      <c r="K59" s="13"/>
    </row>
    <row r="60" spans="1:11" x14ac:dyDescent="0.25">
      <c r="K60" s="13"/>
    </row>
    <row r="61" spans="1:11" x14ac:dyDescent="0.25">
      <c r="K61" s="13"/>
    </row>
    <row r="62" spans="1:11" x14ac:dyDescent="0.25">
      <c r="K62" s="13"/>
    </row>
    <row r="63" spans="1:11" x14ac:dyDescent="0.25">
      <c r="K63" s="13"/>
    </row>
    <row r="66" spans="11:11" x14ac:dyDescent="0.25">
      <c r="K66" s="13"/>
    </row>
    <row r="67" spans="11:11" x14ac:dyDescent="0.25">
      <c r="K67" s="13"/>
    </row>
    <row r="68" spans="11:11" x14ac:dyDescent="0.25">
      <c r="K68" s="13"/>
    </row>
    <row r="69" spans="11:11" x14ac:dyDescent="0.25">
      <c r="K69" s="13"/>
    </row>
    <row r="70" spans="11:11" x14ac:dyDescent="0.25">
      <c r="K70" s="13"/>
    </row>
    <row r="72" spans="11:11" x14ac:dyDescent="0.25">
      <c r="K72" s="13"/>
    </row>
    <row r="74" spans="11:11" x14ac:dyDescent="0.25">
      <c r="K74"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13</vt:i4>
      </vt:variant>
      <vt:variant>
        <vt:lpstr>Именованные диапазоны</vt:lpstr>
      </vt:variant>
      <vt:variant>
        <vt:i4>1</vt:i4>
      </vt:variant>
    </vt:vector>
  </HeadingPairs>
  <TitlesOfParts>
    <vt:vector size="14" baseType="lpstr">
      <vt:lpstr>Протокол</vt:lpstr>
      <vt:lpstr>БД</vt:lpstr>
      <vt:lpstr>Лист2</vt:lpstr>
      <vt:lpstr>БД приказы</vt:lpstr>
      <vt:lpstr>БД направление</vt:lpstr>
      <vt:lpstr>БД Таблица</vt:lpstr>
      <vt:lpstr>проф - дисц - спец</vt:lpstr>
      <vt:lpstr>ДМГ</vt:lpstr>
      <vt:lpstr>Комиссия по ИиФ</vt:lpstr>
      <vt:lpstr>Комиссия по ИнЯ</vt:lpstr>
      <vt:lpstr>Комиссия по специальности</vt:lpstr>
      <vt:lpstr>Лист5</vt:lpstr>
      <vt:lpstr>Лист6</vt:lpstr>
      <vt:lpstr>Протокол!Область_печати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о2</dc:creator>
  <cp:lastModifiedBy>Artlinden St.</cp:lastModifiedBy>
  <cp:lastPrinted>2026-06-03T12:30:18Z</cp:lastPrinted>
  <dcterms:created xsi:type="dcterms:W3CDTF">2020-02-04T07:33:05Z</dcterms:created>
  <dcterms:modified xsi:type="dcterms:W3CDTF">2026-06-03T13:21:43Z</dcterms:modified>
</cp:coreProperties>
</file>